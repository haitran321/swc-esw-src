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FPGA_Designs\IRT\L3H\SWCR\DU\docs\"/>
    </mc:Choice>
  </mc:AlternateContent>
  <xr:revisionPtr revIDLastSave="0" documentId="13_ncr:1_{61F12312-6FB6-4773-BA70-0FAC6A81D175}" xr6:coauthVersionLast="47" xr6:coauthVersionMax="47" xr10:uidLastSave="{00000000-0000-0000-0000-000000000000}"/>
  <bookViews>
    <workbookView xWindow="1410" yWindow="1500" windowWidth="25665" windowHeight="14025" activeTab="3" xr2:uid="{00000000-000D-0000-FFFF-FFFF00000000}"/>
  </bookViews>
  <sheets>
    <sheet name="Memory Map" sheetId="2" r:id="rId1"/>
    <sheet name="FW Revision" sheetId="4" r:id="rId2"/>
    <sheet name="Overall Status" sheetId="5" r:id="rId3"/>
    <sheet name="Main Control" sheetId="1" r:id="rId4"/>
    <sheet name="Ksine" sheetId="25" r:id="rId5"/>
    <sheet name="SW" sheetId="33" r:id="rId6"/>
    <sheet name="Scan_Limit_Result" sheetId="42" r:id="rId7"/>
    <sheet name="System_Status" sheetId="43" r:id="rId8"/>
    <sheet name="Die Temperature" sheetId="27" r:id="rId9"/>
    <sheet name="Voltage" sheetId="41" r:id="rId10"/>
    <sheet name="Diagnostic R-W" sheetId="14"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C33" i="2"/>
  <c r="B37" i="2" l="1"/>
  <c r="C36" i="2"/>
  <c r="C34" i="2"/>
  <c r="B38" i="2" l="1"/>
  <c r="C37" i="2"/>
  <c r="C38" i="2" l="1"/>
  <c r="B39" i="2"/>
  <c r="C39" i="2" l="1"/>
  <c r="B40" i="2"/>
  <c r="C40" i="2" l="1"/>
  <c r="B41" i="2"/>
  <c r="C41" i="2" l="1"/>
  <c r="B42" i="2"/>
  <c r="C42" i="2" l="1"/>
  <c r="B43" i="2"/>
  <c r="C43" i="2" l="1"/>
  <c r="B44" i="2"/>
  <c r="C44" i="2" l="1"/>
  <c r="B45" i="2"/>
  <c r="C45" i="2" l="1"/>
  <c r="B46" i="2"/>
  <c r="B47" i="2" l="1"/>
  <c r="C46" i="2"/>
  <c r="C47" i="2" l="1"/>
  <c r="B48" i="2"/>
  <c r="B49" i="2" l="1"/>
  <c r="C49" i="2" s="1"/>
  <c r="C48" i="2"/>
</calcChain>
</file>

<file path=xl/sharedStrings.xml><?xml version="1.0" encoding="utf-8"?>
<sst xmlns="http://schemas.openxmlformats.org/spreadsheetml/2006/main" count="238" uniqueCount="78">
  <si>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</si>
  <si>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</si>
  <si>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</si>
  <si>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</si>
  <si>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</si>
  <si>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</si>
  <si>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</si>
  <si>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</si>
  <si>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</si>
  <si>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</si>
  <si>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</si>
  <si>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</si>
  <si>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</si>
  <si>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</si>
  <si>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</si>
  <si>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</si>
  <si>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</si>
  <si>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</si>
  <si>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</si>
  <si>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</si>
  <si>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</si>
  <si>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</si>
  <si>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</si>
  <si>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</si>
  <si>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</si>
  <si>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</si>
  <si>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</si>
  <si>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</si>
  <si>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</si>
  <si>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Overall Status</t>
  </si>
  <si>
    <t>Die Temperature</t>
  </si>
  <si>
    <t>Reserved</t>
  </si>
  <si>
    <t>0x000015F90</t>
  </si>
  <si>
    <t>0x00004E20</t>
  </si>
  <si>
    <t>9..0</t>
  </si>
  <si>
    <t>31..10</t>
  </si>
  <si>
    <t>Mian Control</t>
  </si>
  <si>
    <t>Begin DCU status space</t>
  </si>
  <si>
    <t>arm_ksine_alpha</t>
  </si>
  <si>
    <t>arm_ksine_beta</t>
  </si>
  <si>
    <t>atb_sw_alpha (incoming steering word from the ATB)</t>
  </si>
  <si>
    <t>atb_sw_beta (incoming steering word from the ATB)</t>
  </si>
  <si>
    <t>VCCINT Voltage</t>
  </si>
  <si>
    <t>VCCAUX Voltge</t>
  </si>
  <si>
    <t>High Temperature alarm</t>
  </si>
  <si>
    <t>VCCINT Alarm</t>
  </si>
  <si>
    <t>VCCAUX Alarm</t>
  </si>
  <si>
    <t>VBRAM Alarm</t>
  </si>
  <si>
    <t>30 .. 7</t>
  </si>
  <si>
    <t>Unassigned</t>
  </si>
  <si>
    <t>Soft reset.  When toggled from 0 --&gt; 1 several data registers and state machines will be reset. Must be set back to 0 to restart.</t>
  </si>
  <si>
    <t>ARM Ksine Value</t>
  </si>
  <si>
    <t>Steering Word from the ATB</t>
  </si>
  <si>
    <t>VBRAM Voltage</t>
  </si>
  <si>
    <t>DCU 1 stauts register</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</si>
  <si>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</si>
  <si>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</si>
  <si>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</si>
  <si>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</si>
  <si>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</si>
  <si>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</si>
  <si>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</si>
  <si>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</si>
  <si>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</si>
  <si>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Unit Type: 0=Alpha 1=Beta</t>
  </si>
  <si>
    <t>Ready status: 1 =DU ready</t>
  </si>
  <si>
    <t>System Status</t>
  </si>
  <si>
    <t>read Only</t>
  </si>
  <si>
    <t>1..0</t>
  </si>
  <si>
    <t>Systom Configuratio/Mode:
00 = SWCR Only
01 = Joint
11 = SWC</t>
  </si>
  <si>
    <t>Test Config: 0=Normal 1=Test mode</t>
  </si>
  <si>
    <t>Off-Line Test Enabble: 0=Not enabled 1=Enabled</t>
  </si>
  <si>
    <t>Software Trigger: Only used when in test mode.  0--&gt;1 transition will run scan limit and send SPI data.</t>
  </si>
  <si>
    <t>Reset CRC: 1=DUCs reset CRC Error counter</t>
  </si>
  <si>
    <t>Force Test Mode: . 0=Normal Operation 1=Force Test mode</t>
  </si>
  <si>
    <r>
      <rPr>
        <b/>
        <sz val="10"/>
        <color theme="1"/>
        <rFont val="Arial"/>
        <family val="2"/>
      </rPr>
      <t>[1]</t>
    </r>
    <r>
      <rPr>
        <sz val="10"/>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</si>
  <si>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Test Mode Streeting Word Select: 0=From ATB 1=From ARM</t>
  </si>
  <si>
    <r>
      <rPr>
        <b/>
        <sz val="11"/>
        <color theme="1"/>
        <rFont val="Calibri"/>
        <family val="2"/>
        <scheme val="minor"/>
      </rPr>
      <t>[2]</t>
    </r>
    <r>
      <rPr>
        <sz val="11"/>
        <color theme="1"/>
        <rFont val="Calibri"/>
        <family val="2"/>
        <scheme val="minor"/>
      </rPr>
      <t>: Setting this bit will set the CRC clear bit to all DCUs.  If it is set when the next trigger arrives it will send the clear command again.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</si>
</sst>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b/>
      <sz val="10"/>
      <color theme="1"/>
      <name val="Arial"/>
      <family val="2"/>
    </font>
  </fonts>
  <fills count="5">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49"/>
  <sheetViews>
    <sheetView workbookViewId="0">
      <selection activeCell="D23" sqref="D23"/>
    </sheetView>
  </sheetViews>
  <sheetFormatPr defaultRowHeight="15" x14ac:dyDescent="0.25"/>
  <cols>
    <col min="1" max="1" width="5.28515625" customWidth="1"/>
    <col min="2" max="2" width="11.42578125" customWidth="1"/>
    <col min="3" max="3" width="16" customWidth="1"/>
    <col min="4" max="4" width="71.28515625" customWidth="1"/>
    <col min="5" max="5" width="12.8554687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29</v>
      </c>
      <c r="E4" s="3" t="s">
        <v>14</v>
      </c>
    </row>
    <row r="5" spans="2:5" x14ac:dyDescent="0.25">
      <c r="B5" s="10">
        <f t="shared" ref="B5:B34" si="1">B4+1</f>
        <v>2</v>
      </c>
      <c r="C5" s="3" t="str">
        <f t="shared" si="0"/>
        <v>0x0008</v>
      </c>
      <c r="D5" s="3" t="s">
        <v>36</v>
      </c>
      <c r="E5" s="3" t="s">
        <v>15</v>
      </c>
    </row>
    <row r="6" spans="2:5" x14ac:dyDescent="0.25">
      <c r="B6" s="10">
        <f t="shared" si="1"/>
        <v>3</v>
      </c>
      <c r="C6" s="3" t="str">
        <f t="shared" si="0"/>
        <v>0x000C</v>
      </c>
      <c r="D6" s="3" t="s">
        <v>38</v>
      </c>
      <c r="E6" s="3" t="s">
        <v>15</v>
      </c>
    </row>
    <row r="7" spans="2:5" x14ac:dyDescent="0.25">
      <c r="B7" s="10">
        <f t="shared" si="1"/>
        <v>4</v>
      </c>
      <c r="C7" s="3" t="str">
        <f t="shared" si="0"/>
        <v>0x0010</v>
      </c>
      <c r="D7" s="3" t="s">
        <v>39</v>
      </c>
      <c r="E7" s="3" t="s">
        <v>15</v>
      </c>
    </row>
    <row r="8" spans="2:5" x14ac:dyDescent="0.25">
      <c r="B8" s="10">
        <f t="shared" si="1"/>
        <v>5</v>
      </c>
      <c r="C8" s="3" t="str">
        <f t="shared" si="0"/>
        <v>0x0014</v>
      </c>
      <c r="D8" s="3" t="s">
        <v>40</v>
      </c>
      <c r="E8" s="3" t="s">
        <v>14</v>
      </c>
    </row>
    <row r="9" spans="2:5" x14ac:dyDescent="0.25">
      <c r="B9" s="10">
        <f t="shared" si="1"/>
        <v>6</v>
      </c>
      <c r="C9" s="3" t="str">
        <f t="shared" si="0"/>
        <v>0x0018</v>
      </c>
      <c r="D9" s="3" t="s">
        <v>41</v>
      </c>
      <c r="E9" s="3" t="s">
        <v>14</v>
      </c>
    </row>
    <row r="10" spans="2:5" x14ac:dyDescent="0.25">
      <c r="B10" s="10">
        <f t="shared" si="1"/>
        <v>7</v>
      </c>
      <c r="C10" s="3" t="str">
        <f t="shared" si="0"/>
        <v>0x001C</v>
      </c>
      <c r="D10" s="3" t="s">
        <v>57</v>
      </c>
      <c r="E10" s="3" t="s">
        <v>14</v>
      </c>
    </row>
    <row r="11" spans="2:5" x14ac:dyDescent="0.25">
      <c r="B11" s="10">
        <f t="shared" si="1"/>
        <v>8</v>
      </c>
      <c r="C11" s="3" t="str">
        <f t="shared" si="0"/>
        <v>0x0020</v>
      </c>
      <c r="D11" s="3" t="s">
        <v>66</v>
      </c>
      <c r="E11" s="3" t="s">
        <v>14</v>
      </c>
    </row>
    <row r="12" spans="2:5" x14ac:dyDescent="0.25">
      <c r="B12" s="10">
        <f t="shared" si="1"/>
        <v>9</v>
      </c>
      <c r="C12" s="3" t="str">
        <f t="shared" si="0"/>
        <v>0x0024</v>
      </c>
      <c r="D12" s="3" t="s">
        <v>16</v>
      </c>
      <c r="E12" s="3" t="s">
        <v>15</v>
      </c>
    </row>
    <row r="13" spans="2:5" x14ac:dyDescent="0.25">
      <c r="B13" s="10">
        <f t="shared" si="1"/>
        <v>10</v>
      </c>
      <c r="C13" s="3" t="str">
        <f t="shared" si="0"/>
        <v>0x0028</v>
      </c>
      <c r="D13" s="3" t="s">
        <v>16</v>
      </c>
      <c r="E13" s="3" t="s">
        <v>15</v>
      </c>
    </row>
    <row r="14" spans="2:5" x14ac:dyDescent="0.25">
      <c r="B14" s="10">
        <f t="shared" si="1"/>
        <v>11</v>
      </c>
      <c r="C14" s="3" t="str">
        <f t="shared" si="0"/>
        <v>0x002C</v>
      </c>
      <c r="D14" s="3" t="s">
        <v>16</v>
      </c>
      <c r="E14" s="3" t="s">
        <v>15</v>
      </c>
    </row>
    <row r="15" spans="2:5" x14ac:dyDescent="0.25">
      <c r="B15" s="10">
        <f t="shared" si="1"/>
        <v>12</v>
      </c>
      <c r="C15" s="3" t="str">
        <f t="shared" si="0"/>
        <v>0x0030</v>
      </c>
      <c r="D15" s="3" t="s">
        <v>16</v>
      </c>
      <c r="E15" s="3" t="s">
        <v>15</v>
      </c>
    </row>
    <row r="16" spans="2:5" x14ac:dyDescent="0.25">
      <c r="B16" s="10">
        <f t="shared" si="1"/>
        <v>13</v>
      </c>
      <c r="C16" s="3" t="str">
        <f t="shared" si="0"/>
        <v>0x0034</v>
      </c>
      <c r="D16" s="3" t="s">
        <v>16</v>
      </c>
      <c r="E16" s="3" t="s">
        <v>15</v>
      </c>
    </row>
    <row r="17" spans="2:5" x14ac:dyDescent="0.25">
      <c r="B17" s="10">
        <f t="shared" si="1"/>
        <v>14</v>
      </c>
      <c r="C17" s="3" t="str">
        <f t="shared" si="0"/>
        <v>0x0038</v>
      </c>
      <c r="D17" s="3" t="s">
        <v>16</v>
      </c>
      <c r="E17" s="3" t="s">
        <v>15</v>
      </c>
    </row>
    <row r="18" spans="2:5" x14ac:dyDescent="0.25">
      <c r="B18" s="10">
        <f t="shared" si="1"/>
        <v>15</v>
      </c>
      <c r="C18" s="3" t="str">
        <f t="shared" si="0"/>
        <v>0x003C</v>
      </c>
      <c r="D18" s="3" t="s">
        <v>16</v>
      </c>
      <c r="E18" s="3" t="s">
        <v>15</v>
      </c>
    </row>
    <row r="19" spans="2:5" x14ac:dyDescent="0.25">
      <c r="B19" s="10">
        <f t="shared" si="1"/>
        <v>16</v>
      </c>
      <c r="C19" s="3" t="str">
        <f t="shared" si="0"/>
        <v>0x0040</v>
      </c>
      <c r="D19" s="3" t="s">
        <v>16</v>
      </c>
      <c r="E19" s="3" t="s">
        <v>14</v>
      </c>
    </row>
    <row r="20" spans="2:5" x14ac:dyDescent="0.25">
      <c r="B20" s="10">
        <f t="shared" si="1"/>
        <v>17</v>
      </c>
      <c r="C20" s="3" t="str">
        <f t="shared" si="0"/>
        <v>0x0044</v>
      </c>
      <c r="D20" s="3" t="s">
        <v>16</v>
      </c>
      <c r="E20" s="3" t="s">
        <v>14</v>
      </c>
    </row>
    <row r="21" spans="2:5" x14ac:dyDescent="0.25">
      <c r="B21" s="10">
        <f t="shared" si="1"/>
        <v>18</v>
      </c>
      <c r="C21" s="3" t="str">
        <f t="shared" si="0"/>
        <v>0x0048</v>
      </c>
      <c r="D21" s="3" t="s">
        <v>16</v>
      </c>
      <c r="E21" s="3" t="s">
        <v>14</v>
      </c>
    </row>
    <row r="22" spans="2:5" x14ac:dyDescent="0.25">
      <c r="B22" s="10">
        <f t="shared" si="1"/>
        <v>19</v>
      </c>
      <c r="C22" s="3" t="str">
        <f t="shared" si="0"/>
        <v>0x004C</v>
      </c>
      <c r="D22" s="3" t="s">
        <v>16</v>
      </c>
      <c r="E22" s="3" t="s">
        <v>14</v>
      </c>
    </row>
    <row r="23" spans="2:5" x14ac:dyDescent="0.25">
      <c r="B23" s="10">
        <f t="shared" si="1"/>
        <v>20</v>
      </c>
      <c r="C23" s="3" t="str">
        <f t="shared" si="0"/>
        <v>0x0050</v>
      </c>
      <c r="D23" s="3" t="s">
        <v>16</v>
      </c>
      <c r="E23" s="3" t="s">
        <v>14</v>
      </c>
    </row>
    <row r="24" spans="2:5" x14ac:dyDescent="0.25">
      <c r="B24" s="10">
        <f t="shared" si="1"/>
        <v>21</v>
      </c>
      <c r="C24" s="3" t="str">
        <f t="shared" si="0"/>
        <v>0x0054</v>
      </c>
      <c r="D24" s="3" t="s">
        <v>16</v>
      </c>
      <c r="E24" s="3" t="s">
        <v>14</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14</v>
      </c>
    </row>
    <row r="27" spans="2:5" x14ac:dyDescent="0.25">
      <c r="B27" s="10">
        <f t="shared" si="1"/>
        <v>24</v>
      </c>
      <c r="C27" s="3" t="str">
        <f t="shared" si="0"/>
        <v>0x0060</v>
      </c>
      <c r="D27" s="3" t="s">
        <v>16</v>
      </c>
      <c r="E27" s="3" t="s">
        <v>14</v>
      </c>
    </row>
    <row r="28" spans="2:5" x14ac:dyDescent="0.25">
      <c r="B28" s="10">
        <f t="shared" si="1"/>
        <v>25</v>
      </c>
      <c r="C28" s="3" t="str">
        <f t="shared" si="0"/>
        <v>0x0064</v>
      </c>
      <c r="D28" s="3" t="s">
        <v>16</v>
      </c>
      <c r="E28" s="3" t="s">
        <v>14</v>
      </c>
    </row>
    <row r="29" spans="2:5" x14ac:dyDescent="0.25">
      <c r="B29" s="10">
        <f t="shared" si="1"/>
        <v>26</v>
      </c>
      <c r="C29" s="3" t="str">
        <f t="shared" si="0"/>
        <v>0x0068</v>
      </c>
      <c r="D29" s="3" t="s">
        <v>16</v>
      </c>
      <c r="E29" s="3" t="s">
        <v>14</v>
      </c>
    </row>
    <row r="30" spans="2:5" x14ac:dyDescent="0.25">
      <c r="B30" s="10">
        <f t="shared" si="1"/>
        <v>27</v>
      </c>
      <c r="C30" s="3" t="str">
        <f t="shared" si="0"/>
        <v>0x006C</v>
      </c>
      <c r="D30" s="3" t="s">
        <v>30</v>
      </c>
      <c r="E30" s="3" t="s">
        <v>14</v>
      </c>
    </row>
    <row r="31" spans="2:5" x14ac:dyDescent="0.25">
      <c r="B31" s="10">
        <f t="shared" si="1"/>
        <v>28</v>
      </c>
      <c r="C31" s="3" t="str">
        <f t="shared" si="0"/>
        <v>0x0070</v>
      </c>
      <c r="D31" s="3" t="s">
        <v>42</v>
      </c>
      <c r="E31" s="3" t="s">
        <v>14</v>
      </c>
    </row>
    <row r="32" spans="2:5" x14ac:dyDescent="0.25">
      <c r="B32" s="10">
        <f t="shared" si="1"/>
        <v>29</v>
      </c>
      <c r="C32" s="3" t="str">
        <f t="shared" si="0"/>
        <v>0x0074</v>
      </c>
      <c r="D32" s="3" t="s">
        <v>43</v>
      </c>
      <c r="E32" s="3" t="s">
        <v>14</v>
      </c>
    </row>
    <row r="33" spans="2:5" x14ac:dyDescent="0.25">
      <c r="B33" s="10">
        <f t="shared" si="1"/>
        <v>30</v>
      </c>
      <c r="C33" s="3" t="str">
        <f t="shared" si="0"/>
        <v>0x0078</v>
      </c>
      <c r="D33" s="3" t="s">
        <v>53</v>
      </c>
      <c r="E33" s="3" t="s">
        <v>67</v>
      </c>
    </row>
    <row r="34" spans="2:5" x14ac:dyDescent="0.25">
      <c r="B34" s="10">
        <f t="shared" si="1"/>
        <v>31</v>
      </c>
      <c r="C34" s="3" t="str">
        <f t="shared" si="0"/>
        <v>0x007C</v>
      </c>
      <c r="D34" s="3" t="s">
        <v>9</v>
      </c>
      <c r="E34" s="3" t="s">
        <v>15</v>
      </c>
    </row>
    <row r="35" spans="2:5" x14ac:dyDescent="0.25">
      <c r="B35" s="26" t="s">
        <v>37</v>
      </c>
      <c r="C35" s="27"/>
      <c r="D35" s="27"/>
      <c r="E35" s="28"/>
    </row>
    <row r="36" spans="2:5" x14ac:dyDescent="0.25">
      <c r="B36" s="10">
        <f>1+B34</f>
        <v>32</v>
      </c>
      <c r="C36" s="3" t="str">
        <f t="shared" ref="C36:C43" si="2">"0x"&amp;DEC2HEX((B36)*4,4)</f>
        <v>0x0080</v>
      </c>
      <c r="D36" s="3" t="s">
        <v>54</v>
      </c>
      <c r="E36" s="3" t="s">
        <v>14</v>
      </c>
    </row>
    <row r="37" spans="2:5" x14ac:dyDescent="0.25">
      <c r="B37" s="10">
        <f>1+B36</f>
        <v>33</v>
      </c>
      <c r="C37" s="3" t="str">
        <f t="shared" si="2"/>
        <v>0x0084</v>
      </c>
      <c r="D37" s="3"/>
      <c r="E37" s="3" t="s">
        <v>15</v>
      </c>
    </row>
    <row r="38" spans="2:5" x14ac:dyDescent="0.25">
      <c r="B38" s="10">
        <f>1+B37</f>
        <v>34</v>
      </c>
      <c r="C38" s="3" t="str">
        <f t="shared" si="2"/>
        <v>0x0088</v>
      </c>
      <c r="D38" s="3"/>
      <c r="E38" s="3" t="s">
        <v>15</v>
      </c>
    </row>
    <row r="39" spans="2:5" x14ac:dyDescent="0.25">
      <c r="B39" s="10">
        <f>1+B38</f>
        <v>35</v>
      </c>
      <c r="C39" s="3" t="str">
        <f t="shared" si="2"/>
        <v>0x008C</v>
      </c>
      <c r="D39" s="3"/>
      <c r="E39" s="3" t="s">
        <v>19</v>
      </c>
    </row>
    <row r="40" spans="2:5" x14ac:dyDescent="0.25">
      <c r="B40" s="10">
        <f t="shared" ref="B40:B49" si="3">1+B39</f>
        <v>36</v>
      </c>
      <c r="C40" s="3" t="str">
        <f t="shared" si="2"/>
        <v>0x0090</v>
      </c>
      <c r="D40" s="3"/>
      <c r="E40" s="3" t="s">
        <v>15</v>
      </c>
    </row>
    <row r="41" spans="2:5" x14ac:dyDescent="0.25">
      <c r="B41" s="10">
        <f t="shared" si="3"/>
        <v>37</v>
      </c>
      <c r="C41" s="3" t="str">
        <f t="shared" si="2"/>
        <v>0x0094</v>
      </c>
      <c r="D41" s="3"/>
      <c r="E41" s="3" t="s">
        <v>15</v>
      </c>
    </row>
    <row r="42" spans="2:5" x14ac:dyDescent="0.25">
      <c r="B42" s="10">
        <f t="shared" si="3"/>
        <v>38</v>
      </c>
      <c r="C42" s="3" t="str">
        <f t="shared" si="2"/>
        <v>0x0098</v>
      </c>
      <c r="D42" s="3"/>
      <c r="E42" s="3" t="s">
        <v>15</v>
      </c>
    </row>
    <row r="43" spans="2:5" x14ac:dyDescent="0.25">
      <c r="B43" s="10">
        <f t="shared" si="3"/>
        <v>39</v>
      </c>
      <c r="C43" s="3" t="str">
        <f t="shared" si="2"/>
        <v>0x009C</v>
      </c>
      <c r="D43" s="3"/>
      <c r="E43" s="3" t="s">
        <v>15</v>
      </c>
    </row>
    <row r="44" spans="2:5" x14ac:dyDescent="0.25">
      <c r="B44" s="10">
        <f t="shared" si="3"/>
        <v>40</v>
      </c>
      <c r="C44" s="3" t="str">
        <f t="shared" ref="C44:C49" si="4">"0x"&amp;DEC2HEX((B44)*4,4)</f>
        <v>0x00A0</v>
      </c>
      <c r="D44" s="3"/>
      <c r="E44" s="3" t="s">
        <v>15</v>
      </c>
    </row>
    <row r="45" spans="2:5" x14ac:dyDescent="0.25">
      <c r="B45" s="10">
        <f t="shared" si="3"/>
        <v>41</v>
      </c>
      <c r="C45" s="3" t="str">
        <f t="shared" si="4"/>
        <v>0x00A4</v>
      </c>
      <c r="D45" s="3"/>
      <c r="E45" s="3" t="s">
        <v>15</v>
      </c>
    </row>
    <row r="46" spans="2:5" x14ac:dyDescent="0.25">
      <c r="B46" s="10">
        <f t="shared" si="3"/>
        <v>42</v>
      </c>
      <c r="C46" s="3" t="str">
        <f t="shared" si="4"/>
        <v>0x00A8</v>
      </c>
      <c r="D46" s="3"/>
      <c r="E46" s="3" t="s">
        <v>15</v>
      </c>
    </row>
    <row r="47" spans="2:5" x14ac:dyDescent="0.25">
      <c r="B47" s="10">
        <f t="shared" si="3"/>
        <v>43</v>
      </c>
      <c r="C47" s="3" t="str">
        <f t="shared" si="4"/>
        <v>0x00AC</v>
      </c>
      <c r="D47" s="3"/>
      <c r="E47" s="3" t="s">
        <v>15</v>
      </c>
    </row>
    <row r="48" spans="2:5" x14ac:dyDescent="0.25">
      <c r="B48" s="10">
        <f t="shared" si="3"/>
        <v>44</v>
      </c>
      <c r="C48" s="3" t="str">
        <f t="shared" si="4"/>
        <v>0x00B0</v>
      </c>
      <c r="D48" s="3"/>
      <c r="E48" s="3" t="s">
        <v>15</v>
      </c>
    </row>
    <row r="49" spans="2:5" x14ac:dyDescent="0.25">
      <c r="B49" s="10">
        <f t="shared" si="3"/>
        <v>45</v>
      </c>
      <c r="C49" s="3" t="str">
        <f t="shared" si="4"/>
        <v>0x00B4</v>
      </c>
      <c r="D49" s="3"/>
      <c r="E49" s="3" t="s">
        <v>15</v>
      </c>
    </row>
  </sheetData>
  <mergeCells count="1">
    <mergeCell ref="B35:E3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election activeCell="A5" sqref="A5"/>
    </sheetView>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0"/>
  <sheetViews>
    <sheetView workbookViewId="0">
      <selection activeCell="B18" sqref="B18"/>
    </sheetView>
  </sheetViews>
  <sheetFormatPr defaultRowHeight="15" x14ac:dyDescent="0.25"/>
  <cols>
    <col min="1" max="1" width="11.140625" style="1" customWidth="1"/>
    <col min="2" max="2" width="89.85546875" customWidth="1"/>
    <col min="3" max="3" width="10.710937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t="s">
        <v>6</v>
      </c>
      <c r="B3" s="20"/>
      <c r="C3" s="17"/>
      <c r="D3" s="18"/>
      <c r="E3" s="23"/>
    </row>
    <row r="4" spans="1:5" x14ac:dyDescent="0.25">
      <c r="A4" s="10" t="s">
        <v>25</v>
      </c>
      <c r="B4" s="19"/>
      <c r="C4" s="3"/>
      <c r="D4" s="10"/>
      <c r="E4" s="10"/>
    </row>
    <row r="5" spans="1:5" x14ac:dyDescent="0.25">
      <c r="A5" s="18">
        <v>12</v>
      </c>
      <c r="B5" s="20"/>
      <c r="C5" s="17"/>
      <c r="D5" s="18"/>
      <c r="E5" s="18"/>
    </row>
    <row r="6" spans="1:5" x14ac:dyDescent="0.25">
      <c r="A6" s="10">
        <v>11</v>
      </c>
      <c r="B6" s="19"/>
      <c r="C6" s="3"/>
      <c r="D6" s="10"/>
      <c r="E6" s="10"/>
    </row>
    <row r="7" spans="1:5" x14ac:dyDescent="0.25">
      <c r="A7" s="18">
        <v>10</v>
      </c>
      <c r="B7" s="20"/>
      <c r="C7" s="17"/>
      <c r="D7" s="18"/>
      <c r="E7" s="18"/>
    </row>
    <row r="8" spans="1:5" x14ac:dyDescent="0.25">
      <c r="A8" s="10">
        <v>9</v>
      </c>
      <c r="B8" s="19"/>
      <c r="C8" s="3"/>
      <c r="D8" s="10"/>
      <c r="E8" s="10"/>
    </row>
    <row r="9" spans="1:5" x14ac:dyDescent="0.25">
      <c r="A9" s="18">
        <v>8</v>
      </c>
      <c r="B9" s="20"/>
      <c r="C9" s="17"/>
      <c r="D9" s="18"/>
      <c r="E9" s="18"/>
    </row>
    <row r="10" spans="1:5" x14ac:dyDescent="0.25">
      <c r="A10" s="10">
        <v>7</v>
      </c>
      <c r="B10" s="19"/>
      <c r="C10" s="3"/>
      <c r="D10" s="10"/>
      <c r="E10" s="10"/>
    </row>
    <row r="11" spans="1:5" x14ac:dyDescent="0.25">
      <c r="A11" s="18">
        <v>6</v>
      </c>
      <c r="B11" s="17"/>
      <c r="C11" s="17"/>
      <c r="D11" s="18"/>
      <c r="E11" s="18"/>
    </row>
    <row r="12" spans="1:5" x14ac:dyDescent="0.25">
      <c r="A12" s="10">
        <v>5</v>
      </c>
      <c r="B12" s="3"/>
      <c r="C12" s="3"/>
      <c r="D12" s="10"/>
      <c r="E12" s="10"/>
    </row>
    <row r="13" spans="1:5" x14ac:dyDescent="0.25">
      <c r="A13" s="18">
        <v>4</v>
      </c>
      <c r="B13" s="17" t="s">
        <v>47</v>
      </c>
      <c r="C13" s="17" t="s">
        <v>18</v>
      </c>
      <c r="D13" s="18">
        <v>0</v>
      </c>
      <c r="E13" s="18"/>
    </row>
    <row r="14" spans="1:5" x14ac:dyDescent="0.25">
      <c r="A14" s="10">
        <v>3</v>
      </c>
      <c r="B14" s="3" t="s">
        <v>46</v>
      </c>
      <c r="C14" s="3" t="s">
        <v>18</v>
      </c>
      <c r="D14" s="10">
        <v>0</v>
      </c>
      <c r="E14" s="10"/>
    </row>
    <row r="15" spans="1:5" x14ac:dyDescent="0.25">
      <c r="A15" s="18">
        <v>2</v>
      </c>
      <c r="B15" s="17" t="s">
        <v>45</v>
      </c>
      <c r="C15" s="17" t="s">
        <v>18</v>
      </c>
      <c r="D15" s="18">
        <v>0</v>
      </c>
      <c r="E15" s="18"/>
    </row>
    <row r="16" spans="1:5" x14ac:dyDescent="0.25">
      <c r="A16" s="10">
        <v>1</v>
      </c>
      <c r="B16" s="3" t="s">
        <v>44</v>
      </c>
      <c r="C16" s="3" t="s">
        <v>18</v>
      </c>
      <c r="D16" s="10">
        <v>0</v>
      </c>
      <c r="E16" s="10"/>
    </row>
    <row r="17" spans="1:5" x14ac:dyDescent="0.25">
      <c r="A17" s="18">
        <v>0</v>
      </c>
      <c r="B17" s="17" t="s">
        <v>65</v>
      </c>
      <c r="C17" s="17" t="s">
        <v>18</v>
      </c>
      <c r="D17" s="18">
        <v>0</v>
      </c>
      <c r="E17" s="18"/>
    </row>
    <row r="19" spans="1:5" x14ac:dyDescent="0.25">
      <c r="B19" s="5" t="s">
        <v>7</v>
      </c>
    </row>
    <row r="20" spans="1:5" x14ac:dyDescent="0.25">
      <c r="B20" s="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17"/>
  <sheetViews>
    <sheetView tabSelected="1" workbookViewId="0">
      <selection activeCell="A12" sqref="A12"/>
    </sheetView>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50</v>
      </c>
      <c r="C3" s="17" t="s">
        <v>23</v>
      </c>
      <c r="D3" s="18">
        <v>0</v>
      </c>
      <c r="E3" s="18"/>
    </row>
    <row r="4" spans="1:5" ht="15" customHeight="1" x14ac:dyDescent="0.25">
      <c r="A4" s="24" t="s">
        <v>48</v>
      </c>
      <c r="B4" s="6" t="s">
        <v>31</v>
      </c>
      <c r="C4" s="3"/>
      <c r="D4" s="10"/>
      <c r="E4" s="10"/>
    </row>
    <row r="5" spans="1:5" ht="15" customHeight="1" x14ac:dyDescent="0.25">
      <c r="A5" s="15">
        <v>6</v>
      </c>
      <c r="B5" s="16" t="s">
        <v>49</v>
      </c>
      <c r="C5" s="17"/>
      <c r="D5" s="18"/>
      <c r="E5" s="18"/>
    </row>
    <row r="6" spans="1:5" ht="15" customHeight="1" x14ac:dyDescent="0.25">
      <c r="A6" s="24">
        <v>5</v>
      </c>
      <c r="B6" s="6" t="s">
        <v>49</v>
      </c>
      <c r="C6" s="3"/>
      <c r="D6" s="10"/>
      <c r="E6" s="10"/>
    </row>
    <row r="7" spans="1:5" ht="15" customHeight="1" x14ac:dyDescent="0.25">
      <c r="A7" s="15">
        <v>4</v>
      </c>
      <c r="B7" s="16" t="s">
        <v>73</v>
      </c>
      <c r="C7" s="17" t="s">
        <v>23</v>
      </c>
      <c r="D7" s="18">
        <v>0</v>
      </c>
      <c r="E7" s="18">
        <v>2</v>
      </c>
    </row>
    <row r="8" spans="1:5" ht="15" customHeight="1" x14ac:dyDescent="0.25">
      <c r="A8" s="24">
        <v>3</v>
      </c>
      <c r="B8" s="6" t="s">
        <v>74</v>
      </c>
      <c r="C8" s="3" t="s">
        <v>23</v>
      </c>
      <c r="D8" s="10">
        <v>0</v>
      </c>
      <c r="E8" s="10">
        <v>1</v>
      </c>
    </row>
    <row r="9" spans="1:5" ht="15" customHeight="1" x14ac:dyDescent="0.25">
      <c r="A9" s="15">
        <v>2</v>
      </c>
      <c r="B9" s="16" t="s">
        <v>72</v>
      </c>
      <c r="C9" s="17" t="s">
        <v>23</v>
      </c>
      <c r="D9" s="18">
        <v>0</v>
      </c>
      <c r="E9" s="18"/>
    </row>
    <row r="10" spans="1:5" ht="15" customHeight="1" x14ac:dyDescent="0.25">
      <c r="A10" s="24">
        <v>1</v>
      </c>
      <c r="B10" s="6" t="s">
        <v>76</v>
      </c>
      <c r="C10" s="3" t="s">
        <v>23</v>
      </c>
      <c r="D10" s="10">
        <v>0</v>
      </c>
      <c r="E10" s="10"/>
    </row>
    <row r="11" spans="1:5" ht="15" customHeight="1" x14ac:dyDescent="0.25">
      <c r="A11" s="15">
        <v>0</v>
      </c>
      <c r="B11" s="16" t="s">
        <v>64</v>
      </c>
      <c r="C11" s="17" t="s">
        <v>23</v>
      </c>
      <c r="D11" s="18">
        <v>0</v>
      </c>
      <c r="E11" s="18"/>
    </row>
    <row r="12" spans="1:5" ht="15" customHeight="1" x14ac:dyDescent="0.25">
      <c r="A12" s="25"/>
      <c r="B12" s="4"/>
      <c r="D12" s="22"/>
      <c r="E12" s="22"/>
    </row>
    <row r="14" spans="1:5" x14ac:dyDescent="0.25">
      <c r="B14" s="11" t="s">
        <v>7</v>
      </c>
    </row>
    <row r="15" spans="1:5" ht="25.5" x14ac:dyDescent="0.25">
      <c r="B15" s="4" t="s">
        <v>75</v>
      </c>
    </row>
    <row r="16" spans="1:5" ht="30" x14ac:dyDescent="0.25">
      <c r="B16" s="7" t="s">
        <v>77</v>
      </c>
    </row>
    <row r="17" spans="2:2" x14ac:dyDescent="0.25">
      <c r="B17"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election activeCell="B19" sqref="B19"/>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v>
      </c>
      <c r="B3" s="20" t="s">
        <v>51</v>
      </c>
      <c r="C3" s="17" t="s">
        <v>23</v>
      </c>
      <c r="D3" s="18" t="s">
        <v>32</v>
      </c>
      <c r="E3" s="18">
        <v>1</v>
      </c>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election activeCell="B16" sqref="B16"/>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35</v>
      </c>
      <c r="B3" s="20" t="s">
        <v>2</v>
      </c>
      <c r="C3" s="17" t="s">
        <v>23</v>
      </c>
      <c r="D3" s="18" t="s">
        <v>33</v>
      </c>
      <c r="E3" s="18"/>
    </row>
    <row r="4" spans="1:5" x14ac:dyDescent="0.25">
      <c r="A4" s="10" t="s">
        <v>34</v>
      </c>
      <c r="B4" s="3" t="s">
        <v>52</v>
      </c>
      <c r="C4" s="3"/>
      <c r="D4" s="3"/>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election activeCell="B9" sqref="B9"/>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58</v>
      </c>
      <c r="B3" s="16" t="s">
        <v>2</v>
      </c>
      <c r="C3" s="17" t="s">
        <v>19</v>
      </c>
      <c r="D3" s="18">
        <v>0</v>
      </c>
      <c r="E3" s="18"/>
    </row>
    <row r="4" spans="1:5" x14ac:dyDescent="0.25">
      <c r="A4" s="24">
        <v>4</v>
      </c>
      <c r="B4" s="6" t="s">
        <v>59</v>
      </c>
      <c r="C4" s="3" t="s">
        <v>14</v>
      </c>
      <c r="D4" s="10"/>
      <c r="E4" s="10"/>
    </row>
    <row r="5" spans="1:5" x14ac:dyDescent="0.25">
      <c r="A5" s="15">
        <v>3</v>
      </c>
      <c r="B5" s="16" t="s">
        <v>60</v>
      </c>
      <c r="C5" s="17" t="s">
        <v>14</v>
      </c>
      <c r="D5" s="18"/>
      <c r="E5" s="18"/>
    </row>
    <row r="6" spans="1:5" x14ac:dyDescent="0.25">
      <c r="A6" s="24">
        <v>2</v>
      </c>
      <c r="B6" s="6" t="s">
        <v>61</v>
      </c>
      <c r="C6" s="3" t="s">
        <v>14</v>
      </c>
      <c r="D6" s="10"/>
      <c r="E6" s="10"/>
    </row>
    <row r="7" spans="1:5" x14ac:dyDescent="0.25">
      <c r="A7" s="15">
        <v>1</v>
      </c>
      <c r="B7" s="16" t="s">
        <v>62</v>
      </c>
      <c r="C7" s="17" t="s">
        <v>14</v>
      </c>
      <c r="D7" s="18">
        <v>0</v>
      </c>
      <c r="E7" s="18"/>
    </row>
    <row r="8" spans="1:5" x14ac:dyDescent="0.25">
      <c r="A8" s="24">
        <v>0</v>
      </c>
      <c r="B8" s="6" t="s">
        <v>63</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1"/>
  <sheetViews>
    <sheetView workbookViewId="0">
      <selection activeCell="B5" sqref="B5"/>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58</v>
      </c>
      <c r="B3" s="16" t="s">
        <v>2</v>
      </c>
      <c r="C3" s="17" t="s">
        <v>19</v>
      </c>
      <c r="D3" s="18">
        <v>0</v>
      </c>
      <c r="E3" s="18"/>
    </row>
    <row r="4" spans="1:5" x14ac:dyDescent="0.25">
      <c r="A4" s="24">
        <v>4</v>
      </c>
      <c r="B4" s="6" t="s">
        <v>59</v>
      </c>
      <c r="C4" s="3" t="s">
        <v>14</v>
      </c>
      <c r="D4" s="10"/>
      <c r="E4" s="10"/>
    </row>
    <row r="5" spans="1:5" x14ac:dyDescent="0.25">
      <c r="A5" s="15">
        <v>3</v>
      </c>
      <c r="B5" s="16" t="s">
        <v>60</v>
      </c>
      <c r="C5" s="17" t="s">
        <v>14</v>
      </c>
      <c r="D5" s="18"/>
      <c r="E5" s="18"/>
    </row>
    <row r="6" spans="1:5" x14ac:dyDescent="0.25">
      <c r="A6" s="24">
        <v>3</v>
      </c>
      <c r="B6" s="6" t="s">
        <v>71</v>
      </c>
      <c r="C6" s="3" t="s">
        <v>14</v>
      </c>
      <c r="D6" s="10"/>
      <c r="E6" s="10"/>
    </row>
    <row r="7" spans="1:5" x14ac:dyDescent="0.25">
      <c r="A7" s="15">
        <v>2</v>
      </c>
      <c r="B7" s="16" t="s">
        <v>70</v>
      </c>
      <c r="C7" s="17" t="s">
        <v>14</v>
      </c>
      <c r="D7" s="18">
        <v>0</v>
      </c>
      <c r="E7" s="18"/>
    </row>
    <row r="8" spans="1:5" ht="51" x14ac:dyDescent="0.25">
      <c r="A8" s="24" t="s">
        <v>68</v>
      </c>
      <c r="B8" s="6" t="s">
        <v>69</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1"/>
  <sheetViews>
    <sheetView workbookViewId="0">
      <selection activeCell="B11" sqref="B11"/>
    </sheetView>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28</v>
      </c>
    </row>
    <row r="8" spans="1:5" ht="39.75" customHeight="1" x14ac:dyDescent="0.25"/>
    <row r="9" spans="1:5" x14ac:dyDescent="0.25">
      <c r="B9" s="7" t="s">
        <v>27</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11"/>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55</v>
      </c>
    </row>
    <row r="8" spans="1:5" ht="39.75" customHeight="1" x14ac:dyDescent="0.25"/>
    <row r="9" spans="1:5" x14ac:dyDescent="0.25">
      <c r="B9" s="7" t="s">
        <v>56</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election activeCell="C2" sqref="C2:E2"/>
    </sheetView>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Memory Map</vt:lpstr>
      <vt:lpstr>FW Revision</vt:lpstr>
      <vt:lpstr>Overall Status</vt:lpstr>
      <vt:lpstr>Main Control</vt:lpstr>
      <vt:lpstr>Ksine</vt:lpstr>
      <vt:lpstr>SW</vt:lpstr>
      <vt:lpstr>Scan_Limit_Result</vt:lpstr>
      <vt:lpstr>System_Status</vt:lpstr>
      <vt:lpstr>Die Temperature</vt:lpstr>
      <vt:lpstr>Voltage</vt:lpstr>
      <vt:lpstr>Diagnostic R-W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2025-04-29T22:19:38Z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