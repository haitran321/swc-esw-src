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5864DC7C-B3FE-40DF-8AF8-1DD7418E12BC}" xr6:coauthVersionLast="47" xr6:coauthVersionMax="47" xr10:uidLastSave="{00000000-0000-0000-0000-000000000000}"/>
  <bookViews>
    <workbookView xWindow="28680" yWindow="-120" windowWidth="29040" windowHeight="15720" xr2:uid="{00000000-000D-0000-FFFF-FFFF00000000}"/>
  </bookViews>
  <sheets>
    <sheet name="Memory Map" sheetId="2" r:id="rId1"/>
    <sheet name="FW Revision" sheetId="4" r:id="rId2"/>
    <sheet name="Overall Status" sheetId="5" r:id="rId3"/>
    <sheet name="Main Control" sheetId="1" r:id="rId4"/>
    <sheet name="Ksine" sheetId="25" r:id="rId5"/>
    <sheet name="ATB_SW" sheetId="33" r:id="rId6"/>
    <sheet name="Scan_Limit_Result" sheetId="42" r:id="rId7"/>
    <sheet name="System_Status" sheetId="43" r:id="rId8"/>
    <sheet name="SWCR Status Bits" sheetId="44" r:id="rId9"/>
    <sheet name="Cable Delay" sheetId="45" r:id="rId10"/>
    <sheet name="ARM Status" sheetId="48" r:id="rId11"/>
    <sheet name="Die Temperature" sheetId="27" r:id="rId12"/>
    <sheet name="Voltage" sheetId="41" r:id="rId13"/>
    <sheet name="Diagnostic R-W" sheetId="14" r:id="rId14"/>
    <sheet name="DCU Status" sheetId="47" r:id="rId15"/>
    <sheet name="SPI Read Clk Delay" sheetId="46"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1" l="1"/>
  <c r="D15" i="41"/>
  <c r="D17" i="27"/>
  <c r="D14" i="27"/>
  <c r="D15" i="46"/>
  <c r="D14" i="46"/>
  <c r="D28" i="45"/>
  <c r="D18" i="45"/>
  <c r="D14" i="45"/>
  <c r="D15" i="45" s="1"/>
  <c r="C21" i="45"/>
  <c r="C3" i="2"/>
  <c r="B4" i="2"/>
  <c r="B5" i="2" s="1"/>
  <c r="D25" i="45" l="1"/>
  <c r="C4" i="2"/>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<sst xmlns="http://schemas.openxmlformats.org/spreadsheetml/2006/main" count="744" uniqueCount="181">
  <si>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</si>
  <si>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</si>
  <si>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</si>
  <si>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</si>
  <si>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</si>
  <si>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</si>
  <si>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</si>
  <si>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</si>
  <si>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</si>
  <si>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</si>
  <si>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</si>
  <si>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</si>
  <si>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</si>
  <si>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</si>
  <si>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</si>
  <si>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</si>
  <si>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</si>
  <si>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</si>
  <si>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</si>
  <si>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</si>
  <si>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</si>
  <si>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</si>
  <si>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</si>
  <si>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</si>
  <si>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</si>
  <si>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</si>
  <si>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</si>
  <si>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</si>
  <si>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Overall Status</t>
  </si>
  <si>
    <t>Die Temperature</t>
  </si>
  <si>
    <t>Reserved</t>
  </si>
  <si>
    <t>9..0</t>
  </si>
  <si>
    <t>31..10</t>
  </si>
  <si>
    <t>Mian Control</t>
  </si>
  <si>
    <t>Begin DCU status space</t>
  </si>
  <si>
    <t>arm_ksine_alpha</t>
  </si>
  <si>
    <t>arm_ksine_beta</t>
  </si>
  <si>
    <t>atb_sw_alpha (incoming steering word from the ATB)</t>
  </si>
  <si>
    <t>atb_sw_beta (incoming steering word from the ATB)</t>
  </si>
  <si>
    <t>VCCINT Voltage</t>
  </si>
  <si>
    <t>High Temperature alarm</t>
  </si>
  <si>
    <t>VCCINT Alarm</t>
  </si>
  <si>
    <t>VCCAUX Alarm</t>
  </si>
  <si>
    <t>VBRAM Alarm</t>
  </si>
  <si>
    <t>Soft reset.  When toggled from 0 --&gt; 1 several data registers and state machines will be reset. Must be set back to 0 to restart.</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</si>
  <si>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</si>
  <si>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</si>
  <si>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</si>
  <si>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</si>
  <si>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</si>
  <si>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</si>
  <si>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</si>
  <si>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</si>
  <si>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</si>
  <si>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</si>
  <si>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</si>
  <si>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Ready status: 1 =DU ready</t>
  </si>
  <si>
    <t>System Status</t>
  </si>
  <si>
    <t>1..0</t>
  </si>
  <si>
    <t>Test Config: 0=Normal 1=Test mode</t>
  </si>
  <si>
    <t>Software Trigger: Only used when in test mode.  0--&gt;1 transition will run scan limit and send SPI data.</t>
  </si>
  <si>
    <t>Force Test Mode: . 0=Normal Operation 1=Force Test mode</t>
  </si>
  <si>
    <t>BIT Result: 1=Pass 0=Fail</t>
  </si>
  <si>
    <t>Begin SCLK Readback delay settings space</t>
  </si>
  <si>
    <t>DCU Group: 0=Alpha 1=Beta</t>
  </si>
  <si>
    <t>DCU Number: 1 to 152</t>
  </si>
  <si>
    <t>b_00</t>
  </si>
  <si>
    <t>0x00</t>
  </si>
  <si>
    <t>5..0</t>
  </si>
  <si>
    <t>31..6</t>
  </si>
  <si>
    <t>4..0</t>
  </si>
  <si>
    <t>1, 2</t>
  </si>
  <si>
    <t>Overall SWCR Status</t>
  </si>
  <si>
    <t>Mode: 0=Online 1=Test</t>
  </si>
  <si>
    <t>Alpha DU Status: 0=No Go  1=Go</t>
  </si>
  <si>
    <t>Beta DU Status: 0=No Go  1=Go</t>
  </si>
  <si>
    <t>Temperature Status: 0=No Go  1=Go</t>
  </si>
  <si>
    <t xml:space="preserve">DCU Status: 0=No Go  1=Go </t>
  </si>
  <si>
    <t>CRC Status: 0=CRC Failed  1=CRC Valid (this is for the current transfer)</t>
  </si>
  <si>
    <t>15..8</t>
  </si>
  <si>
    <t>Location setting of the DCU.  1-152</t>
  </si>
  <si>
    <t>21..16</t>
  </si>
  <si>
    <t>Mode: Indicates if the DCU is commanded to SWC or SWCR mode.  0=SWCR and 1=SWC.</t>
  </si>
  <si>
    <t>Bypass swtich postion: Indicates the bypass switch position. 0=No in Bypass 1=In Bypass</t>
  </si>
  <si>
    <t>31..24</t>
  </si>
  <si>
    <t>7..6</t>
  </si>
  <si>
    <t>31..12</t>
  </si>
  <si>
    <t>5..2</t>
  </si>
  <si>
    <t>DCU FW Major Rev</t>
  </si>
  <si>
    <t>DCU FW Minor Rev</t>
  </si>
  <si>
    <t>[1]: This is a rolled up status for all 152 connected DCUs.  It is updated every transaction.  Any DCU with a CRC error will make this bit 0.</t>
  </si>
  <si>
    <t>Boresight Command: 1=A Boresight command was issued on the last Data Transfer request</t>
  </si>
  <si>
    <t>Off-Line Test Enable: 0=Not enabled 1=Enabled</t>
  </si>
  <si>
    <t>11..9</t>
  </si>
  <si>
    <t>Calibration Command: 1 = A Calibration command was issued on the last Data Transfer request</t>
  </si>
  <si>
    <t>SPI Health: 1 = No CRC Errors for last transaction, 0 = At least one CRC error</t>
  </si>
  <si>
    <t>SWCR Status Bits (19 of 20 bits for SWCR status to be sent out on the next /WLSP)</t>
  </si>
  <si>
    <t>Future Use</t>
  </si>
  <si>
    <t>ATB Status</t>
  </si>
  <si>
    <t>ARM Ksine Steering word value</t>
  </si>
  <si>
    <t>Not use</t>
  </si>
  <si>
    <t>Valid: 1=Steering Word to DCU is Vaild,  0=Steering Word to DCU is not valid</t>
  </si>
  <si>
    <t>Test Mode Data Selection: 0=From TU via ATB 1=From TU via Network</t>
  </si>
  <si>
    <t>Unit Type: 0=Alpha 1=Beta (this will be used to instruct the DCU if it is an Alpha unit or Beta unit).</t>
  </si>
  <si>
    <t>6..5</t>
  </si>
  <si>
    <t>System Configuration/Mode:
00 = Error
01 = SWC
10 = Joint
11 = SWCR</t>
  </si>
  <si>
    <t>30 .. 12</t>
  </si>
  <si>
    <t>b_000</t>
  </si>
  <si>
    <t>b_11</t>
  </si>
  <si>
    <r>
      <t xml:space="preserve">DCU Command: Some commands from this register are only used in specific modes. See notes.
</t>
    </r>
    <r>
      <rPr>
        <sz val="10"/>
        <color theme="1"/>
        <rFont val="Courier New"/>
        <family val="3"/>
      </rPr>
      <t>000 = None        100 = Reset DCU
001 = Borsite     101 = Future Use
010 = Calibration 110 = Future Use
011 = CRC Reset   111 = Future Use</t>
    </r>
  </si>
  <si>
    <r>
      <t xml:space="preserve">System Config for DCU: Ths is only valid when in Force Test mode:
</t>
    </r>
    <r>
      <rPr>
        <sz val="10"/>
        <color theme="1"/>
        <rFont val="Courier New"/>
        <family val="3"/>
      </rPr>
      <t>00 = Error
01 = SWC
10 = Joint
11 = SCWR</t>
    </r>
  </si>
  <si>
    <t>ARM Initialization Status</t>
  </si>
  <si>
    <t>VCCAUX Voltage</t>
  </si>
  <si>
    <t>Application Ready: 0=Not running 1=Application running</t>
  </si>
  <si>
    <t>Future use</t>
  </si>
  <si>
    <t>31..4</t>
  </si>
  <si>
    <t>ARM Ready: 0=boot not complete, 1=Boot complete</t>
  </si>
  <si>
    <t>[1] These bits will be used by the FPGA as part of the logic that sets the DU Ready LED</t>
  </si>
  <si>
    <t>BIT (Built-In-Self Test):
Bit16: TBD
Bit17: Compare of DCU Steering Word to Legacy Steering Word.  1=same and 0=different. It long term use is TBD.
Bit18: SPI Communicaiton Health: 1=CRC errors under threshold and 0=CRC errors over threshold. Threshold is TBD.
Bit19: Location setting valid: 1=Valid setting and 0=Invalid Setting. Valid settings are 1 to 152
Bit20: Clock Health for internal and external clocks: 1=CPLD PLL Locked and 0=CPLD PLL Not Locked
Bit21: BIT Overall Status: 1=Passed and 0=Failed (roll up of abovwe bits excpet for Bit17, compare)</t>
  </si>
  <si>
    <t>Cable Delay compensation (course delay)</t>
  </si>
  <si>
    <t>DCU Type: 0=Alpha, 1=Beta</t>
  </si>
  <si>
    <t>Delay before SPI read starts after a SPI write begins.</t>
  </si>
  <si>
    <t>[1] This delay is defined in number of SPI clocks. This is considered course delay as it is in intervals of SPI clocks.  The individual SCLK delays are fine delay but have a maximum delay of one SPI clock. The following formula can be used to calculate delay.</t>
  </si>
  <si>
    <t>MHz</t>
  </si>
  <si>
    <t>Delay Calculator</t>
  </si>
  <si>
    <r>
      <rPr>
        <b/>
        <sz val="11"/>
        <color theme="1"/>
        <rFont val="Arial"/>
        <family val="2"/>
      </rPr>
      <t>[2]</t>
    </r>
    <r>
      <rPr>
        <sz val="11"/>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</si>
  <si>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Reg Value</t>
  </si>
  <si>
    <t>Delay (wanted)</t>
  </si>
  <si>
    <t>Delay achived</t>
  </si>
  <si>
    <t>ns</t>
  </si>
  <si>
    <t>Delay</t>
  </si>
  <si>
    <t>Cable Delay calculator</t>
  </si>
  <si>
    <t>Cable Length</t>
  </si>
  <si>
    <t>Feet</t>
  </si>
  <si>
    <t>feet/nanosecond</t>
  </si>
  <si>
    <t>Meters</t>
  </si>
  <si>
    <t xml:space="preserve"> Cable Delay (64% the speed of light for CAT-5) =</t>
  </si>
  <si>
    <t xml:space="preserve"> Speed of Light =</t>
  </si>
  <si>
    <t xml:space="preserve"> Where SPI  Frequency =</t>
  </si>
  <si>
    <t>Delay in clock counts of the internal SPI clock for reading data back on MISO.</t>
  </si>
  <si>
    <t>[1]: This is considerd the "fine delay" for the SPI read back. Each of the 152 SPI interfaces and it own delay setting (unlike the "course" cable delay that applies to all interfaces).</t>
  </si>
  <si>
    <t>[2] This max delay is one SPI Clock peroid.  The resolution is the FPGA system clock.  The following equation defines the delay calculation.</t>
  </si>
  <si>
    <t>System Clock Frequency =</t>
  </si>
  <si>
    <t>Delay Calculation</t>
  </si>
  <si>
    <r>
      <t>[1]</t>
    </r>
    <r>
      <rPr>
        <sz val="11"/>
        <color theme="1"/>
        <rFont val="Arial"/>
        <family val="2"/>
      </rPr>
      <t xml:space="preserve"> In the current</t>
    </r>
    <r>
      <rPr>
        <b/>
        <sz val="11"/>
        <color theme="1"/>
        <rFont val="Arial"/>
        <family val="2"/>
      </rPr>
      <t xml:space="preserve"> </t>
    </r>
    <r>
      <rPr>
        <sz val="11"/>
        <color theme="1"/>
        <rFont val="Arial"/>
        <family val="2"/>
      </rPr>
      <t>DU hardware there is no provision to know if the unit is for Alpha or Beta.  The currnet method to set this bit is based on the network address which will be set as part of initial setup.  The base DU SW will have a default address that is not Alpha or Beta but one that can be accessed through the closed network so the IP address can be changed.</t>
    </r>
  </si>
  <si>
    <r>
      <rPr>
        <b/>
        <sz val="11"/>
        <color theme="1"/>
        <rFont val="Arial"/>
        <family val="2"/>
      </rPr>
      <t>[3]</t>
    </r>
    <r>
      <rPr>
        <sz val="11"/>
        <color theme="1"/>
        <rFont val="Arial"/>
        <family val="2"/>
      </rPr>
      <t>: By setting the Valid bit to 0, commands can be sent to the DCU without the steeering word being updated.  When an /RLTD from the ATB is received this register bit will be overridden to '1' for that transaction.  This bit is only used when in off-line mode and data is from the network.</t>
    </r>
  </si>
  <si>
    <r>
      <rPr>
        <b/>
        <sz val="11"/>
        <color theme="1"/>
        <rFont val="Arial"/>
        <family val="2"/>
      </rPr>
      <t>[4]</t>
    </r>
    <r>
      <rPr>
        <sz val="11"/>
        <color theme="1"/>
        <rFont val="Arial"/>
        <family val="2"/>
      </rPr>
      <t xml:space="preserve"> When in force test mode these bits determine if the DCU is in SWC, Joint, or SWCR.  In all other cases the system configuration is determined by the ATB user interface switch setting.</t>
    </r>
  </si>
  <si>
    <r>
      <rPr>
        <b/>
        <sz val="11"/>
        <color theme="1"/>
        <rFont val="Arial"/>
        <family val="2"/>
      </rPr>
      <t>[5]</t>
    </r>
    <r>
      <rPr>
        <sz val="11"/>
        <color theme="1"/>
        <rFont val="Arial"/>
        <family val="2"/>
      </rPr>
      <t xml:space="preserve">: The below descriptions indicate when the register value is used as the command to the DCU:
Boresight:   This command is only used from this register when in Test Mode AND Data is coming from the Network.
Calibration:  This command is only used from this register when in Test Mode AND Data is coming from the Network.
CRC Reset: This command allways comes from this register. It is edge triggered in the DCU so it must be toggled to send again.
Reset DCU: This command allways comes from this register. </t>
    </r>
    <r>
      <rPr>
        <b/>
        <sz val="11"/>
        <color theme="1"/>
        <rFont val="Arial"/>
        <family val="2"/>
      </rPr>
      <t>NOTICE</t>
    </r>
    <r>
      <rPr>
        <sz val="11"/>
        <color theme="1"/>
        <rFont val="Arial"/>
        <family val="2"/>
      </rPr>
      <t xml:space="preserve"> sending this command will "soft" reset all DCUs.</t>
    </r>
  </si>
  <si>
    <t>[1] This delay is used to account for CAT-5 cable length.  All Alpha cables and all beta cables will be the same length (but Alpha and Beta lenghts will be different).  This delay is applied to all 152 SPI read backs. Depending on final cable length and SPI data rate this may not be needed.</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</si>
  <si>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</si>
  <si>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Temperature Calculation</t>
  </si>
  <si>
    <t>ADC Counts</t>
  </si>
  <si>
    <t xml:space="preserve">Temperature  </t>
  </si>
  <si>
    <t>°C</t>
  </si>
  <si>
    <t>ADC Bits used =</t>
  </si>
  <si>
    <t>Decimal</t>
  </si>
  <si>
    <t xml:space="preserve">ADC Counts </t>
  </si>
  <si>
    <t>Hex</t>
  </si>
  <si>
    <t>9C40</t>
  </si>
  <si>
    <t>Voltage Calculation</t>
  </si>
  <si>
    <t xml:space="preserve">Voltage  </t>
  </si>
  <si>
    <t>V</t>
  </si>
  <si>
    <t>[1] The DU sends this info to the DCU this over the SPI bus.  It will not be updated by the DCU until the next SPI Transaction after it was set.</t>
  </si>
  <si>
    <t>Over Temperature alarm</t>
  </si>
  <si>
    <r>
      <rPr>
        <b/>
        <sz val="11"/>
        <color theme="1"/>
        <rFont val="Calibri"/>
        <family val="2"/>
        <scheme val="minor"/>
      </rPr>
      <t>[1]</t>
    </r>
    <r>
      <rPr>
        <sz val="11"/>
        <color theme="1"/>
        <rFont val="Calibri"/>
        <family val="2"/>
        <scheme val="minor"/>
      </rPr>
      <t xml:space="preserve"> There are two temperature alarms for FPGA Die temperature.  The high temp alarm is only an indicator that die temperature is high but not critical.  The Over temperature alarm indicates a die temperature that could be potentially harmful to the device.  Current Thresholds are:
High Temp: Alarm Set = 85C Alarm turn off after set = 80C
Over Temp: Alarm Set = 100C Alarm turn off after set = 95C</t>
    </r>
  </si>
  <si>
    <r>
      <rPr>
        <b/>
        <sz val="11"/>
        <color theme="1"/>
        <rFont val="Calibri"/>
        <family val="2"/>
        <scheme val="minor"/>
      </rPr>
      <t>[3]</t>
    </r>
    <r>
      <rPr>
        <sz val="11"/>
        <color theme="1"/>
        <rFont val="Calibri"/>
        <family val="2"/>
        <scheme val="minor"/>
      </rPr>
      <t xml:space="preserve"> This is the overall Built-In-Test (BIT) result.  It is a rolled up result of all other status bits.</t>
    </r>
  </si>
  <si>
    <r>
      <rPr>
        <b/>
        <sz val="11"/>
        <color theme="1"/>
        <rFont val="Calibri"/>
        <family val="2"/>
        <scheme val="minor"/>
      </rPr>
      <t>[2]</t>
    </r>
    <r>
      <rPr>
        <sz val="11"/>
        <color theme="1"/>
        <rFont val="Calibri"/>
        <family val="2"/>
        <scheme val="minor"/>
      </rPr>
      <t xml:space="preserve"> The currently set voltage thresholds are shown below:
VCCINT: Lower: 0.78 Upper 0.92 (nominal 0.85)
VCCAUX: Lower: 1.75 Upper 1.89 (nominal 1.8)
VBRAM: Lower: 0.78 Upper 0.92 (nominal 0.85)</t>
    </r>
  </si>
  <si>
    <t>Last version to affect the register map: 1.47</t>
  </si>
  <si>
    <t>Data Type: (WLAC18=Bit7 and WLAC17=Bit6)
00 = Error
01 = Config
10 = Status 
11 = I/O Module Status</t>
  </si>
  <si>
    <t>5..4</t>
  </si>
  <si>
    <t>System Configuration: (WLAC16=Bit5, WLAC15=Bit4)
Bit3/Bit4
00 = Error
01 = SWC 
10 = Joint
11 = SWCR Only</t>
  </si>
  <si>
    <r>
      <rPr>
        <b/>
        <sz val="11"/>
        <color theme="1"/>
        <rFont val="Calibri"/>
        <family val="2"/>
        <scheme val="minor"/>
      </rPr>
      <t>[1]</t>
    </r>
    <r>
      <rPr>
        <sz val="11"/>
        <color theme="1"/>
        <rFont val="Calibri"/>
        <family val="2"/>
        <scheme val="minor"/>
      </rPr>
      <t xml:space="preserve"> Data type determines which data is populated for WLAC11 - WLAC16.  The FW will populate the    20-status bits to the ATB/TWGS as indicated below:</t>
    </r>
  </si>
  <si>
    <t>18..17</t>
  </si>
  <si>
    <t>16..15</t>
  </si>
  <si>
    <t xml:space="preserve">+12 Power Status: 0=No Go  1=Go </t>
  </si>
  <si>
    <t xml:space="preserve">+24 Power Status: 0=No Go  1=Go </t>
  </si>
  <si>
    <t>Alpha DCU Rollup: 
00=Error
01 = Red      
10 = Yellow 
11 = Green</t>
  </si>
  <si>
    <t>Beta DCU Rollup:
00=Error
01 = Red 
10 = Yellow
11 = Green</t>
  </si>
  <si>
    <r>
      <rPr>
        <b/>
        <sz val="11"/>
        <color theme="1"/>
        <rFont val="Calibri"/>
        <family val="2"/>
        <scheme val="minor"/>
      </rPr>
      <t>Data Type = Config</t>
    </r>
    <r>
      <rPr>
        <sz val="11"/>
        <color theme="1"/>
        <rFont val="Calibri"/>
        <family val="2"/>
        <scheme val="minor"/>
      </rPr>
      <t>:
WLAC11 = Future use
WLAC12 = Future use
WLAC13 = Future use
WLAC14 = Mode: Bit-3
WLAC15 = Systen Configuraiton LSB: Bit-4
WLAC16 = Systen Configuraiton MSB: status reg Bit-5</t>
    </r>
  </si>
  <si>
    <r>
      <rPr>
        <b/>
        <sz val="11"/>
        <color theme="1"/>
        <rFont val="Calibri"/>
        <family val="2"/>
        <scheme val="minor"/>
      </rPr>
      <t>Data Type = Status</t>
    </r>
    <r>
      <rPr>
        <sz val="11"/>
        <color theme="1"/>
        <rFont val="Calibri"/>
        <family val="2"/>
        <scheme val="minor"/>
      </rPr>
      <t>:
WLAC11 = Beta DCU rollup LSB bit: status register Bit-15
WLAC12 = Beta DCU rollup MSB bit: status register Bit-16
WLAC13 = Alpha DCU rollup LSB bit: status register Bit-17
WLAC14 = Alpha DCU rollup MSB bit: status register Bit-18
WLAC15 = Beta DU status: status reg Bit-19
WLAC16 = Alpha DU status: status reg Bit-20</t>
    </r>
  </si>
  <si>
    <r>
      <rPr>
        <b/>
        <sz val="11"/>
        <color theme="1"/>
        <rFont val="Calibri"/>
        <family val="2"/>
        <scheme val="minor"/>
      </rPr>
      <t>Data Type = I/O Module Status</t>
    </r>
    <r>
      <rPr>
        <sz val="11"/>
        <color theme="1"/>
        <rFont val="Calibri"/>
        <family val="2"/>
        <scheme val="minor"/>
      </rPr>
      <t>:
WLAC11 = Future use
WLAC12 = Future use
WLAC13 = ATB Status: status reg Bit-11
WLAC14 = +24V Power Status: status reg Bit-12
WLAC15 = +12V Power Status: status reg Bit-13
WLAC16 = Temperature Status: status reg Bit-14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</si>
</sst>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sz val="10"/>
      <color theme="1"/>
      <name val="Courier New"/>
      <family val="3"/>
    </font>
    <font>
      <sz val="11"/>
      <color theme="1"/>
      <name val="Arial"/>
      <family val="2"/>
    </font>
    <font>
      <b/>
      <sz val="11"/>
      <color theme="1"/>
      <name val="Arial"/>
      <family val="2"/>
    </font>
    <font>
      <sz val="11"/>
      <name val="Calibri"/>
      <family val="2"/>
      <scheme val="minor"/>
    </font>
  </fonts>
  <fills count="8">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right"/>
    </xf>
    <xf numFmtId="0" fontId="8" fillId="0" borderId="0" xfId="0" applyFont="1" applyAlignment="1">
      <alignment vertical="center" wrapText="1" readingOrder="1"/>
    </xf>
    <xf numFmtId="49" fontId="8" fillId="0" borderId="0" xfId="0" applyNumberFormat="1" applyFont="1" applyAlignment="1">
      <alignment horizontal="left" vertical="top" wrapText="1"/>
    </xf>
    <xf numFmtId="0" fontId="8" fillId="0" borderId="0" xfId="0" applyFont="1" applyAlignment="1">
      <alignment wrapText="1"/>
    </xf>
    <xf numFmtId="0" fontId="9" fillId="0" borderId="0" xfId="0" applyFont="1" applyAlignment="1">
      <alignment vertical="center" wrapText="1"/>
    </xf>
    <xf numFmtId="0" fontId="8" fillId="0" borderId="0" xfId="0" applyFont="1" applyAlignment="1">
      <alignment vertical="center" wrapText="1"/>
    </xf>
    <xf numFmtId="0" fontId="8" fillId="0" borderId="0" xfId="0" applyFont="1"/>
    <xf numFmtId="0" fontId="8" fillId="0" borderId="1" xfId="0" applyFont="1" applyBorder="1"/>
    <xf numFmtId="0" fontId="8" fillId="5" borderId="1" xfId="0" applyFont="1" applyFill="1" applyBorder="1"/>
    <xf numFmtId="0" fontId="8" fillId="6" borderId="1" xfId="0" applyFont="1" applyFill="1" applyBorder="1"/>
    <xf numFmtId="0" fontId="8" fillId="7" borderId="1" xfId="0" applyFont="1" applyFill="1" applyBorder="1"/>
    <xf numFmtId="2" fontId="0" fillId="0" borderId="0" xfId="0" applyNumberFormat="1" applyAlignment="1">
      <alignment horizontal="left"/>
    </xf>
    <xf numFmtId="2" fontId="8" fillId="7" borderId="1" xfId="0" applyNumberFormat="1" applyFont="1" applyFill="1" applyBorder="1"/>
    <xf numFmtId="0" fontId="8" fillId="0" borderId="0" xfId="0" applyFont="1" applyAlignment="1">
      <alignment horizontal="right"/>
    </xf>
    <xf numFmtId="0" fontId="8" fillId="3" borderId="1" xfId="0" applyFont="1" applyFill="1" applyBorder="1"/>
    <xf numFmtId="0" fontId="0" fillId="4" borderId="1" xfId="0" applyFill="1" applyBorder="1" applyAlignment="1">
      <alignment horizontal="left"/>
    </xf>
    <xf numFmtId="0" fontId="8" fillId="0" borderId="1" xfId="0" applyFont="1" applyBorder="1" applyAlignment="1">
      <alignment horizontal="center"/>
    </xf>
    <xf numFmtId="0" fontId="0" fillId="0" borderId="1" xfId="0" applyFill="1" applyBorder="1" applyAlignment="1">
      <alignment horizontal="center"/>
    </xf>
    <xf numFmtId="0" fontId="0" fillId="0" borderId="1" xfId="0" applyFill="1" applyBorder="1" applyAlignment="1">
      <alignment wrapText="1"/>
    </xf>
    <xf numFmtId="0" fontId="0" fillId="0" borderId="1" xfId="0" applyFill="1" applyBorder="1"/>
    <xf numFmtId="0" fontId="0" fillId="0" borderId="1" xfId="0" quotePrefix="1" applyFill="1" applyBorder="1"/>
    <xf numFmtId="0" fontId="0" fillId="3" borderId="1" xfId="0" quotePrefix="1" applyFill="1" applyBorder="1"/>
    <xf numFmtId="0" fontId="10" fillId="0" borderId="1" xfId="0" applyFont="1" applyFill="1" applyBorder="1" applyAlignment="1">
      <alignment horizontal="center"/>
    </xf>
    <xf numFmtId="0" fontId="10" fillId="0" borderId="1" xfId="0" applyFont="1" applyFill="1" applyBorder="1" applyAlignment="1">
      <alignment wrapText="1"/>
    </xf>
    <xf numFmtId="0" fontId="10"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8</xdr:row>
      <xdr:rowOff>19050</xdr:rowOff>
    </xdr:from>
    <xdr:to>
      <xdr:col>1</xdr:col>
      <xdr:colOff>5438775</xdr:colOff>
      <xdr:row>9</xdr:row>
      <xdr:rowOff>76200</xdr:rowOff>
    </xdr:to>
    <xdr:pic>
      <xdr:nvPicPr>
        <xdr:cNvPr id="3" name="Picture 2">
          <a:extLst>
            <a:ext uri="{FF2B5EF4-FFF2-40B4-BE49-F238E27FC236}">
              <a16:creationId xmlns:a16="http://schemas.microsoft.com/office/drawing/2014/main" id="{6BFEE0AF-9794-8B2D-A893-8F945AE7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268605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8</xdr:row>
      <xdr:rowOff>57150</xdr:rowOff>
    </xdr:from>
    <xdr:to>
      <xdr:col>1</xdr:col>
      <xdr:colOff>5953125</xdr:colOff>
      <xdr:row>8</xdr:row>
      <xdr:rowOff>561975</xdr:rowOff>
    </xdr:to>
    <xdr:pic>
      <xdr:nvPicPr>
        <xdr:cNvPr id="2" name="Picture 1">
          <a:extLst>
            <a:ext uri="{FF2B5EF4-FFF2-40B4-BE49-F238E27FC236}">
              <a16:creationId xmlns:a16="http://schemas.microsoft.com/office/drawing/2014/main" id="{61583B2F-CBC0-B2E0-F0B2-9D1715D855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 y="1943100"/>
          <a:ext cx="594360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7109375" customWidth="1"/>
    <col min="5" max="5" width="15.570312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28</v>
      </c>
      <c r="E4" s="3" t="s">
        <v>14</v>
      </c>
    </row>
    <row r="5" spans="2:5" x14ac:dyDescent="0.25">
      <c r="B5" s="10">
        <f t="shared" ref="B5:B34" si="1">B4+1</f>
        <v>2</v>
      </c>
      <c r="C5" s="3" t="str">
        <f t="shared" si="0"/>
        <v>0x0008</v>
      </c>
      <c r="D5" s="3" t="s">
        <v>33</v>
      </c>
      <c r="E5" s="3" t="s">
        <v>15</v>
      </c>
    </row>
    <row r="6" spans="2:5" x14ac:dyDescent="0.25">
      <c r="B6" s="10">
        <f t="shared" si="1"/>
        <v>3</v>
      </c>
      <c r="C6" s="3" t="str">
        <f t="shared" si="0"/>
        <v>0x000C</v>
      </c>
      <c r="D6" s="3" t="s">
        <v>35</v>
      </c>
      <c r="E6" s="3" t="s">
        <v>15</v>
      </c>
    </row>
    <row r="7" spans="2:5" x14ac:dyDescent="0.25">
      <c r="B7" s="10">
        <f t="shared" si="1"/>
        <v>4</v>
      </c>
      <c r="C7" s="3" t="str">
        <f t="shared" si="0"/>
        <v>0x0010</v>
      </c>
      <c r="D7" s="3" t="s">
        <v>36</v>
      </c>
      <c r="E7" s="3" t="s">
        <v>15</v>
      </c>
    </row>
    <row r="8" spans="2:5" x14ac:dyDescent="0.25">
      <c r="B8" s="10">
        <f t="shared" si="1"/>
        <v>5</v>
      </c>
      <c r="C8" s="3" t="str">
        <f t="shared" si="0"/>
        <v>0x0014</v>
      </c>
      <c r="D8" s="3" t="s">
        <v>37</v>
      </c>
      <c r="E8" s="3" t="s">
        <v>14</v>
      </c>
    </row>
    <row r="9" spans="2:5" x14ac:dyDescent="0.25">
      <c r="B9" s="10">
        <f t="shared" si="1"/>
        <v>6</v>
      </c>
      <c r="C9" s="3" t="str">
        <f t="shared" si="0"/>
        <v>0x0018</v>
      </c>
      <c r="D9" s="3" t="s">
        <v>38</v>
      </c>
      <c r="E9" s="3" t="s">
        <v>14</v>
      </c>
    </row>
    <row r="10" spans="2:5" x14ac:dyDescent="0.25">
      <c r="B10" s="10">
        <f t="shared" si="1"/>
        <v>7</v>
      </c>
      <c r="C10" s="3" t="str">
        <f t="shared" si="0"/>
        <v>0x001C</v>
      </c>
      <c r="D10" s="3" t="s">
        <v>49</v>
      </c>
      <c r="E10" s="3" t="s">
        <v>14</v>
      </c>
    </row>
    <row r="11" spans="2:5" x14ac:dyDescent="0.25">
      <c r="B11" s="10">
        <f t="shared" si="1"/>
        <v>8</v>
      </c>
      <c r="C11" s="3" t="str">
        <f t="shared" si="0"/>
        <v>0x0020</v>
      </c>
      <c r="D11" s="3" t="s">
        <v>57</v>
      </c>
      <c r="E11" s="3" t="s">
        <v>14</v>
      </c>
    </row>
    <row r="12" spans="2:5" x14ac:dyDescent="0.25">
      <c r="B12" s="10">
        <f t="shared" si="1"/>
        <v>9</v>
      </c>
      <c r="C12" s="3" t="str">
        <f t="shared" si="0"/>
        <v>0x0024</v>
      </c>
      <c r="D12" s="3" t="s">
        <v>96</v>
      </c>
      <c r="E12" s="3" t="s">
        <v>15</v>
      </c>
    </row>
    <row r="13" spans="2:5" x14ac:dyDescent="0.25">
      <c r="B13" s="10">
        <f t="shared" si="1"/>
        <v>10</v>
      </c>
      <c r="C13" s="3" t="str">
        <f t="shared" si="0"/>
        <v>0x0028</v>
      </c>
      <c r="D13" s="3" t="s">
        <v>119</v>
      </c>
      <c r="E13" s="3" t="s">
        <v>15</v>
      </c>
    </row>
    <row r="14" spans="2:5" x14ac:dyDescent="0.25">
      <c r="B14" s="10">
        <f t="shared" si="1"/>
        <v>11</v>
      </c>
      <c r="C14" s="3" t="str">
        <f t="shared" si="0"/>
        <v>0x002C</v>
      </c>
      <c r="D14" s="3" t="s">
        <v>111</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29</v>
      </c>
      <c r="E30" s="3" t="s">
        <v>14</v>
      </c>
    </row>
    <row r="31" spans="2:5" x14ac:dyDescent="0.25">
      <c r="B31" s="10">
        <f t="shared" si="1"/>
        <v>28</v>
      </c>
      <c r="C31" s="3" t="str">
        <f t="shared" si="0"/>
        <v>0x0070</v>
      </c>
      <c r="D31" s="3" t="s">
        <v>39</v>
      </c>
      <c r="E31" s="3" t="s">
        <v>14</v>
      </c>
    </row>
    <row r="32" spans="2:5" x14ac:dyDescent="0.25">
      <c r="B32" s="10">
        <f t="shared" si="1"/>
        <v>29</v>
      </c>
      <c r="C32" s="3" t="str">
        <f t="shared" si="0"/>
        <v>0x0074</v>
      </c>
      <c r="D32" s="3" t="s">
        <v>112</v>
      </c>
      <c r="E32" s="3" t="s">
        <v>14</v>
      </c>
    </row>
    <row r="33" spans="2:5" x14ac:dyDescent="0.25">
      <c r="B33" s="10">
        <f t="shared" si="1"/>
        <v>30</v>
      </c>
      <c r="C33" s="3" t="str">
        <f t="shared" si="0"/>
        <v>0x0078</v>
      </c>
      <c r="D33" s="3" t="s">
        <v>46</v>
      </c>
      <c r="E33" s="3" t="s">
        <v>14</v>
      </c>
    </row>
    <row r="34" spans="2:5" x14ac:dyDescent="0.25">
      <c r="B34" s="10">
        <f t="shared" si="1"/>
        <v>31</v>
      </c>
      <c r="C34" s="3" t="str">
        <f t="shared" si="0"/>
        <v>0x007C</v>
      </c>
      <c r="D34" s="3" t="s">
        <v>9</v>
      </c>
      <c r="E34" s="3" t="s">
        <v>15</v>
      </c>
    </row>
    <row r="35" spans="2:5" x14ac:dyDescent="0.25">
      <c r="B35" s="41" t="s">
        <v>34</v>
      </c>
      <c r="C35" s="41"/>
      <c r="D35" s="41"/>
      <c r="E35" s="41"/>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41" t="s">
        <v>63</v>
      </c>
      <c r="C188" s="41"/>
      <c r="D188" s="41"/>
      <c r="E188" s="41"/>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B8" sqref="B8"/>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t="s">
        <v>167</v>
      </c>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3"/>
  <sheetViews>
    <sheetView workbookViewId="0"/>
  </sheetViews>
  <sheetFormatPr defaultRowHeight="15" x14ac:dyDescent="0.25"/>
  <cols>
    <col min="1" max="1" width="11.140625" style="1" customWidth="1"/>
    <col min="2" max="2" width="89.85546875" customWidth="1"/>
    <col min="3" max="3" width="11.5703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62</v>
      </c>
      <c r="C3" s="17" t="s">
        <v>14</v>
      </c>
      <c r="D3" s="18">
        <v>0</v>
      </c>
      <c r="E3" s="23">
        <v>3</v>
      </c>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t="s">
        <v>163</v>
      </c>
      <c r="C12" s="33" t="s">
        <v>14</v>
      </c>
      <c r="D12" s="10">
        <v>0</v>
      </c>
      <c r="E12" s="10">
        <v>1</v>
      </c>
    </row>
    <row r="13" spans="1:5" x14ac:dyDescent="0.25">
      <c r="A13" s="18">
        <v>4</v>
      </c>
      <c r="B13" s="17" t="s">
        <v>43</v>
      </c>
      <c r="C13" s="40" t="s">
        <v>14</v>
      </c>
      <c r="D13" s="18">
        <v>0</v>
      </c>
      <c r="E13" s="18">
        <v>2</v>
      </c>
    </row>
    <row r="14" spans="1:5" x14ac:dyDescent="0.25">
      <c r="A14" s="10">
        <v>3</v>
      </c>
      <c r="B14" s="3" t="s">
        <v>42</v>
      </c>
      <c r="C14" s="33" t="s">
        <v>14</v>
      </c>
      <c r="D14" s="10">
        <v>0</v>
      </c>
      <c r="E14" s="10">
        <v>2</v>
      </c>
    </row>
    <row r="15" spans="1:5" x14ac:dyDescent="0.25">
      <c r="A15" s="18">
        <v>2</v>
      </c>
      <c r="B15" s="17" t="s">
        <v>41</v>
      </c>
      <c r="C15" s="40" t="s">
        <v>14</v>
      </c>
      <c r="D15" s="18">
        <v>0</v>
      </c>
      <c r="E15" s="18">
        <v>2</v>
      </c>
    </row>
    <row r="16" spans="1:5" x14ac:dyDescent="0.25">
      <c r="A16" s="10">
        <v>1</v>
      </c>
      <c r="B16" s="3" t="s">
        <v>40</v>
      </c>
      <c r="C16" s="33" t="s">
        <v>14</v>
      </c>
      <c r="D16" s="10">
        <v>0</v>
      </c>
      <c r="E16" s="10">
        <v>1</v>
      </c>
    </row>
    <row r="17" spans="1:5" x14ac:dyDescent="0.25">
      <c r="A17" s="18">
        <v>0</v>
      </c>
      <c r="B17" s="17" t="s">
        <v>56</v>
      </c>
      <c r="C17" s="40" t="s">
        <v>14</v>
      </c>
      <c r="D17" s="18">
        <v>0</v>
      </c>
      <c r="E17" s="18"/>
    </row>
    <row r="19" spans="1:5" x14ac:dyDescent="0.25">
      <c r="B19" s="5" t="s">
        <v>7</v>
      </c>
    </row>
    <row r="20" spans="1:5" x14ac:dyDescent="0.25">
      <c r="B20" s="7"/>
    </row>
    <row r="21" spans="1:5" ht="75" x14ac:dyDescent="0.25">
      <c r="B21" s="7" t="s">
        <v>164</v>
      </c>
    </row>
    <row r="22" spans="1:5" ht="60" x14ac:dyDescent="0.25">
      <c r="B22" s="7" t="s">
        <v>166</v>
      </c>
    </row>
    <row r="23" spans="1:5" x14ac:dyDescent="0.25">
      <c r="B23" s="7" t="s">
        <v>165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3"/>
  <sheetViews>
    <sheetView workbookViewId="0"/>
  </sheetViews>
  <sheetFormatPr defaultRowHeight="15" x14ac:dyDescent="0.25"/>
  <cols>
    <col min="1" max="1" width="11.140625" style="1" customWidth="1"/>
    <col min="2" max="2" width="124.140625"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44</v>
      </c>
      <c r="C3" s="17" t="s">
        <v>23</v>
      </c>
      <c r="D3" s="18">
        <v>0</v>
      </c>
      <c r="E3" s="18"/>
    </row>
    <row r="4" spans="1:5" ht="15" customHeight="1" x14ac:dyDescent="0.25">
      <c r="A4" s="24" t="s">
        <v>106</v>
      </c>
      <c r="B4" s="6" t="s">
        <v>30</v>
      </c>
      <c r="C4" s="3" t="s">
        <v>23</v>
      </c>
      <c r="D4" s="10">
        <v>0</v>
      </c>
      <c r="E4" s="10"/>
    </row>
    <row r="5" spans="1:5" ht="15" customHeight="1" x14ac:dyDescent="0.25">
      <c r="A5" s="15">
        <v>11</v>
      </c>
      <c r="B5" s="16" t="s">
        <v>30</v>
      </c>
      <c r="C5" s="17" t="s">
        <v>23</v>
      </c>
      <c r="D5" s="18">
        <v>0</v>
      </c>
      <c r="E5" s="18"/>
    </row>
    <row r="6" spans="1:5" ht="68.45" customHeight="1" x14ac:dyDescent="0.25">
      <c r="A6" s="24">
        <v>10.8</v>
      </c>
      <c r="B6" s="6" t="s">
        <v>109</v>
      </c>
      <c r="C6" s="3" t="s">
        <v>23</v>
      </c>
      <c r="D6" s="10" t="s">
        <v>107</v>
      </c>
      <c r="E6" s="10">
        <v>5</v>
      </c>
    </row>
    <row r="7" spans="1:5" ht="15" customHeight="1" x14ac:dyDescent="0.25">
      <c r="A7" s="15">
        <v>7</v>
      </c>
      <c r="B7" s="16" t="s">
        <v>30</v>
      </c>
      <c r="C7" s="17" t="s">
        <v>23</v>
      </c>
      <c r="D7" s="18">
        <v>0</v>
      </c>
      <c r="E7" s="18"/>
    </row>
    <row r="8" spans="1:5" ht="69" customHeight="1" x14ac:dyDescent="0.25">
      <c r="A8" s="24" t="s">
        <v>104</v>
      </c>
      <c r="B8" s="6" t="s">
        <v>110</v>
      </c>
      <c r="C8" s="3" t="s">
        <v>23</v>
      </c>
      <c r="D8" s="10" t="s">
        <v>108</v>
      </c>
      <c r="E8" s="10">
        <v>4</v>
      </c>
    </row>
    <row r="9" spans="1:5" ht="15" customHeight="1" x14ac:dyDescent="0.25">
      <c r="A9" s="15">
        <v>4</v>
      </c>
      <c r="B9" s="16" t="s">
        <v>101</v>
      </c>
      <c r="C9" s="17" t="s">
        <v>23</v>
      </c>
      <c r="D9" s="18">
        <v>1</v>
      </c>
      <c r="E9" s="18">
        <v>3</v>
      </c>
    </row>
    <row r="10" spans="1:5" ht="15" customHeight="1" x14ac:dyDescent="0.25">
      <c r="A10" s="24">
        <v>3</v>
      </c>
      <c r="B10" s="6" t="s">
        <v>61</v>
      </c>
      <c r="C10" s="3" t="s">
        <v>23</v>
      </c>
      <c r="D10" s="10">
        <v>0</v>
      </c>
      <c r="E10" s="10">
        <v>2</v>
      </c>
    </row>
    <row r="11" spans="1:5" ht="15" customHeight="1" x14ac:dyDescent="0.25">
      <c r="A11" s="15">
        <v>2</v>
      </c>
      <c r="B11" s="16" t="s">
        <v>60</v>
      </c>
      <c r="C11" s="17" t="s">
        <v>23</v>
      </c>
      <c r="D11" s="18">
        <v>0</v>
      </c>
      <c r="E11" s="18"/>
    </row>
    <row r="12" spans="1:5" ht="15" customHeight="1" x14ac:dyDescent="0.25">
      <c r="A12" s="24">
        <v>1</v>
      </c>
      <c r="B12" s="6" t="s">
        <v>102</v>
      </c>
      <c r="C12" s="3" t="s">
        <v>23</v>
      </c>
      <c r="D12" s="10">
        <v>0</v>
      </c>
      <c r="E12" s="10"/>
    </row>
    <row r="13" spans="1:5" ht="15" customHeight="1" x14ac:dyDescent="0.25">
      <c r="A13" s="15">
        <v>0</v>
      </c>
      <c r="B13" s="16" t="s">
        <v>103</v>
      </c>
      <c r="C13" s="17" t="s">
        <v>23</v>
      </c>
      <c r="D13" s="18">
        <v>0</v>
      </c>
      <c r="E13" s="18">
        <v>1</v>
      </c>
    </row>
    <row r="14" spans="1:5" ht="15" customHeight="1" x14ac:dyDescent="0.25">
      <c r="A14" s="25"/>
      <c r="B14" s="4"/>
      <c r="D14" s="22"/>
      <c r="E14" s="22"/>
    </row>
    <row r="16" spans="1:5" x14ac:dyDescent="0.25">
      <c r="B16" s="11" t="s">
        <v>7</v>
      </c>
    </row>
    <row r="17" spans="2:2" ht="43.5" x14ac:dyDescent="0.25">
      <c r="B17" s="30" t="s">
        <v>144</v>
      </c>
    </row>
    <row r="18" spans="2:2" ht="43.5" x14ac:dyDescent="0.25">
      <c r="B18" s="31" t="s">
        <v>125</v>
      </c>
    </row>
    <row r="19" spans="2:2" ht="44.25" x14ac:dyDescent="0.25">
      <c r="B19" s="29" t="s">
        <v>145</v>
      </c>
    </row>
    <row r="20" spans="2:2" ht="30" x14ac:dyDescent="0.25">
      <c r="B20" s="29" t="s">
        <v>146</v>
      </c>
    </row>
    <row r="21" spans="2:2" ht="72.75" x14ac:dyDescent="0.25">
      <c r="B21" s="29" t="s">
        <v>147</v>
      </c>
    </row>
    <row r="23" spans="2:2" x14ac:dyDescent="0.25">
      <c r="B23"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100</v>
      </c>
      <c r="C3" s="17" t="s">
        <v>23</v>
      </c>
      <c r="D3" s="18"/>
      <c r="E3" s="18"/>
    </row>
    <row r="4" spans="1:5" x14ac:dyDescent="0.25">
      <c r="A4" s="10" t="s">
        <v>31</v>
      </c>
      <c r="B4" s="3" t="s">
        <v>99</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32</v>
      </c>
      <c r="B3" s="20" t="s">
        <v>2</v>
      </c>
      <c r="C3" s="17" t="s">
        <v>19</v>
      </c>
      <c r="D3" s="18"/>
      <c r="E3" s="18"/>
    </row>
    <row r="4" spans="1:5" x14ac:dyDescent="0.25">
      <c r="A4" s="10" t="s">
        <v>31</v>
      </c>
      <c r="B4" s="3" t="s">
        <v>45</v>
      </c>
      <c r="C4" s="3" t="s">
        <v>14</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50</v>
      </c>
      <c r="B3" s="16" t="s">
        <v>2</v>
      </c>
      <c r="C3" s="17" t="s">
        <v>19</v>
      </c>
      <c r="D3" s="18">
        <v>0</v>
      </c>
      <c r="E3" s="18"/>
    </row>
    <row r="4" spans="1:5" x14ac:dyDescent="0.25">
      <c r="A4" s="24">
        <v>4</v>
      </c>
      <c r="B4" s="6" t="s">
        <v>51</v>
      </c>
      <c r="C4" s="3" t="s">
        <v>14</v>
      </c>
      <c r="D4" s="10"/>
      <c r="E4" s="10"/>
    </row>
    <row r="5" spans="1:5" x14ac:dyDescent="0.25">
      <c r="A5" s="15">
        <v>3</v>
      </c>
      <c r="B5" s="16" t="s">
        <v>52</v>
      </c>
      <c r="C5" s="17" t="s">
        <v>14</v>
      </c>
      <c r="D5" s="18"/>
      <c r="E5" s="18"/>
    </row>
    <row r="6" spans="1:5" x14ac:dyDescent="0.25">
      <c r="A6" s="24">
        <v>2</v>
      </c>
      <c r="B6" s="6" t="s">
        <v>53</v>
      </c>
      <c r="C6" s="3" t="s">
        <v>14</v>
      </c>
      <c r="D6" s="10"/>
      <c r="E6" s="10"/>
    </row>
    <row r="7" spans="1:5" x14ac:dyDescent="0.25">
      <c r="A7" s="15">
        <v>1</v>
      </c>
      <c r="B7" s="16" t="s">
        <v>54</v>
      </c>
      <c r="C7" s="17" t="s">
        <v>14</v>
      </c>
      <c r="D7" s="18">
        <v>0</v>
      </c>
      <c r="E7" s="18"/>
    </row>
    <row r="8" spans="1:5" x14ac:dyDescent="0.25">
      <c r="A8" s="24">
        <v>0</v>
      </c>
      <c r="B8" s="6" t="s">
        <v>55</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5"/>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86</v>
      </c>
      <c r="B3" s="16" t="s">
        <v>2</v>
      </c>
      <c r="C3" s="17" t="s">
        <v>19</v>
      </c>
      <c r="D3" s="18">
        <v>0</v>
      </c>
      <c r="E3" s="18"/>
    </row>
    <row r="4" spans="1:5" x14ac:dyDescent="0.25">
      <c r="A4" s="24" t="s">
        <v>93</v>
      </c>
      <c r="B4" s="6" t="s">
        <v>30</v>
      </c>
      <c r="C4" s="3" t="s">
        <v>14</v>
      </c>
      <c r="D4" s="10">
        <v>0</v>
      </c>
      <c r="E4" s="10"/>
    </row>
    <row r="5" spans="1:5" x14ac:dyDescent="0.25">
      <c r="A5" s="15">
        <v>8</v>
      </c>
      <c r="B5" s="16" t="s">
        <v>95</v>
      </c>
      <c r="C5" s="17" t="s">
        <v>14</v>
      </c>
      <c r="D5" s="18">
        <v>0</v>
      </c>
      <c r="E5" s="18">
        <v>1</v>
      </c>
    </row>
    <row r="6" spans="1:5" x14ac:dyDescent="0.25">
      <c r="A6" s="24" t="s">
        <v>85</v>
      </c>
      <c r="B6" s="6" t="s">
        <v>30</v>
      </c>
      <c r="C6" s="3" t="s">
        <v>14</v>
      </c>
      <c r="D6" s="10">
        <v>0</v>
      </c>
      <c r="E6" s="10"/>
    </row>
    <row r="7" spans="1:5" x14ac:dyDescent="0.25">
      <c r="A7" s="15">
        <v>5</v>
      </c>
      <c r="B7" s="16" t="s">
        <v>94</v>
      </c>
      <c r="C7" s="17" t="s">
        <v>14</v>
      </c>
      <c r="D7" s="18">
        <v>0</v>
      </c>
      <c r="E7" s="18"/>
    </row>
    <row r="8" spans="1:5" x14ac:dyDescent="0.25">
      <c r="A8" s="24">
        <v>4</v>
      </c>
      <c r="B8" s="6" t="s">
        <v>91</v>
      </c>
      <c r="C8" s="3" t="s">
        <v>14</v>
      </c>
      <c r="D8" s="10">
        <v>0</v>
      </c>
      <c r="E8" s="10"/>
    </row>
    <row r="9" spans="1:5" x14ac:dyDescent="0.25">
      <c r="A9" s="15">
        <v>3</v>
      </c>
      <c r="B9" s="16" t="s">
        <v>92</v>
      </c>
      <c r="C9" s="17" t="s">
        <v>14</v>
      </c>
      <c r="D9" s="18">
        <v>0</v>
      </c>
      <c r="E9" s="18"/>
    </row>
    <row r="10" spans="1:5" x14ac:dyDescent="0.25">
      <c r="A10" s="24">
        <v>2</v>
      </c>
      <c r="B10" s="6" t="s">
        <v>59</v>
      </c>
      <c r="C10" s="3" t="s">
        <v>14</v>
      </c>
      <c r="D10" s="10">
        <v>0</v>
      </c>
      <c r="E10" s="10"/>
    </row>
    <row r="11" spans="1:5" ht="65.45" customHeight="1" x14ac:dyDescent="0.25">
      <c r="A11" s="15" t="s">
        <v>58</v>
      </c>
      <c r="B11" s="16" t="s">
        <v>105</v>
      </c>
      <c r="C11" s="17" t="s">
        <v>14</v>
      </c>
      <c r="D11" s="18">
        <v>0</v>
      </c>
      <c r="E11" s="18"/>
    </row>
    <row r="12" spans="1:5" x14ac:dyDescent="0.25">
      <c r="A12" s="25"/>
      <c r="B12" s="4"/>
      <c r="D12" s="22"/>
      <c r="E12" s="22"/>
    </row>
    <row r="14" spans="1:5" x14ac:dyDescent="0.25">
      <c r="B14" s="11" t="s">
        <v>7</v>
      </c>
    </row>
    <row r="15" spans="1:5" ht="29.25" x14ac:dyDescent="0.25">
      <c r="B15" s="29" t="s">
        <v>90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29"/>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2</v>
      </c>
      <c r="C3" s="17" t="s">
        <v>19</v>
      </c>
      <c r="D3" s="18"/>
      <c r="E3" s="23"/>
    </row>
    <row r="4" spans="1:5" x14ac:dyDescent="0.25">
      <c r="A4" s="10">
        <v>30.23</v>
      </c>
      <c r="B4" s="3" t="s">
        <v>65</v>
      </c>
      <c r="C4" s="3" t="s">
        <v>23</v>
      </c>
      <c r="D4" s="10" t="s">
        <v>67</v>
      </c>
      <c r="E4" s="10"/>
    </row>
    <row r="5" spans="1:5" x14ac:dyDescent="0.25">
      <c r="A5" s="18">
        <v>22</v>
      </c>
      <c r="B5" s="17" t="s">
        <v>77</v>
      </c>
      <c r="C5" s="17" t="s">
        <v>23</v>
      </c>
      <c r="D5" s="18"/>
      <c r="E5" s="18"/>
    </row>
    <row r="6" spans="1:5" x14ac:dyDescent="0.25">
      <c r="A6" s="10">
        <v>21</v>
      </c>
      <c r="B6" s="3" t="s">
        <v>64</v>
      </c>
      <c r="C6" s="3" t="s">
        <v>23</v>
      </c>
      <c r="D6" s="10"/>
      <c r="E6" s="10"/>
    </row>
    <row r="7" spans="1:5" x14ac:dyDescent="0.25">
      <c r="A7" s="18">
        <v>20</v>
      </c>
      <c r="B7" s="17" t="s">
        <v>74</v>
      </c>
      <c r="C7" s="17" t="s">
        <v>23</v>
      </c>
      <c r="D7" s="18"/>
      <c r="E7" s="18"/>
    </row>
    <row r="8" spans="1:5" x14ac:dyDescent="0.25">
      <c r="A8" s="10">
        <v>19</v>
      </c>
      <c r="B8" s="3" t="s">
        <v>75</v>
      </c>
      <c r="C8" s="3" t="s">
        <v>23</v>
      </c>
      <c r="D8" s="10"/>
      <c r="E8" s="10"/>
    </row>
    <row r="9" spans="1:5" ht="75" x14ac:dyDescent="0.25">
      <c r="A9" s="18" t="s">
        <v>172</v>
      </c>
      <c r="B9" s="20" t="s">
        <v>176</v>
      </c>
      <c r="C9" s="17" t="s">
        <v>23</v>
      </c>
      <c r="D9" s="18"/>
      <c r="E9" s="18">
        <v>1</v>
      </c>
    </row>
    <row r="10" spans="1:5" ht="75" x14ac:dyDescent="0.25">
      <c r="A10" s="43" t="s">
        <v>173</v>
      </c>
      <c r="B10" s="44" t="s">
        <v>177</v>
      </c>
      <c r="C10" s="45" t="s">
        <v>23</v>
      </c>
      <c r="D10" s="43"/>
      <c r="E10" s="43">
        <v>1</v>
      </c>
    </row>
    <row r="11" spans="1:5" x14ac:dyDescent="0.25">
      <c r="A11" s="18">
        <v>14</v>
      </c>
      <c r="B11" s="20" t="s">
        <v>76</v>
      </c>
      <c r="C11" s="17"/>
      <c r="D11" s="18"/>
      <c r="E11" s="18">
        <v>1</v>
      </c>
    </row>
    <row r="12" spans="1:5" x14ac:dyDescent="0.25">
      <c r="A12" s="43">
        <v>13</v>
      </c>
      <c r="B12" s="46" t="s">
        <v>174</v>
      </c>
      <c r="C12" s="45" t="s">
        <v>23</v>
      </c>
      <c r="D12" s="43"/>
      <c r="E12" s="43"/>
    </row>
    <row r="13" spans="1:5" x14ac:dyDescent="0.25">
      <c r="A13" s="18">
        <v>12</v>
      </c>
      <c r="B13" s="47" t="s">
        <v>175</v>
      </c>
      <c r="C13" s="17" t="s">
        <v>23</v>
      </c>
      <c r="D13" s="18"/>
      <c r="E13" s="18"/>
    </row>
    <row r="14" spans="1:5" x14ac:dyDescent="0.25">
      <c r="A14" s="48">
        <v>11</v>
      </c>
      <c r="B14" s="49" t="s">
        <v>98</v>
      </c>
      <c r="C14" s="50" t="s">
        <v>23</v>
      </c>
      <c r="D14" s="48"/>
      <c r="E14" s="48"/>
    </row>
    <row r="15" spans="1:5" x14ac:dyDescent="0.25">
      <c r="A15" s="18">
        <v>10</v>
      </c>
      <c r="B15" s="17" t="s">
        <v>97</v>
      </c>
      <c r="C15" s="17" t="s">
        <v>23</v>
      </c>
      <c r="D15" s="18">
        <v>0</v>
      </c>
      <c r="E15" s="18"/>
    </row>
    <row r="16" spans="1:5" x14ac:dyDescent="0.25">
      <c r="A16" s="10">
        <v>9</v>
      </c>
      <c r="B16" s="3" t="s">
        <v>97</v>
      </c>
      <c r="C16" s="3" t="s">
        <v>23</v>
      </c>
      <c r="D16" s="10">
        <v>0</v>
      </c>
      <c r="E16" s="10"/>
    </row>
    <row r="17" spans="1:5" x14ac:dyDescent="0.25">
      <c r="A17" s="18">
        <v>8</v>
      </c>
      <c r="B17" s="17" t="s">
        <v>72</v>
      </c>
      <c r="C17" s="17" t="s">
        <v>23</v>
      </c>
      <c r="D17" s="18">
        <v>0</v>
      </c>
      <c r="E17" s="18"/>
    </row>
    <row r="18" spans="1:5" ht="75" x14ac:dyDescent="0.25">
      <c r="A18" s="10" t="s">
        <v>85</v>
      </c>
      <c r="B18" s="19" t="s">
        <v>168</v>
      </c>
      <c r="C18" s="3" t="s">
        <v>23</v>
      </c>
      <c r="D18" s="10">
        <v>0</v>
      </c>
      <c r="E18" s="10">
        <v>1</v>
      </c>
    </row>
    <row r="19" spans="1:5" ht="90" x14ac:dyDescent="0.25">
      <c r="A19" s="18" t="s">
        <v>169</v>
      </c>
      <c r="B19" s="20" t="s">
        <v>170</v>
      </c>
      <c r="C19" s="17" t="s">
        <v>23</v>
      </c>
      <c r="D19" s="18">
        <v>0</v>
      </c>
      <c r="E19" s="18">
        <v>1</v>
      </c>
    </row>
    <row r="20" spans="1:5" x14ac:dyDescent="0.25">
      <c r="A20" s="10">
        <v>3</v>
      </c>
      <c r="B20" s="19" t="s">
        <v>73</v>
      </c>
      <c r="C20" s="3" t="s">
        <v>23</v>
      </c>
      <c r="D20" s="10">
        <v>0</v>
      </c>
      <c r="E20" s="10">
        <v>1</v>
      </c>
    </row>
    <row r="21" spans="1:5" x14ac:dyDescent="0.25">
      <c r="A21" s="18">
        <v>2</v>
      </c>
      <c r="B21" s="20" t="s">
        <v>97</v>
      </c>
      <c r="C21" s="17" t="s">
        <v>23</v>
      </c>
      <c r="D21" s="18" t="s">
        <v>66</v>
      </c>
      <c r="E21" s="18"/>
    </row>
    <row r="22" spans="1:5" x14ac:dyDescent="0.25">
      <c r="A22" s="10">
        <v>1</v>
      </c>
      <c r="B22" s="19" t="s">
        <v>97</v>
      </c>
      <c r="C22" s="3" t="s">
        <v>23</v>
      </c>
      <c r="D22" s="10">
        <v>0</v>
      </c>
      <c r="E22" s="10"/>
    </row>
    <row r="23" spans="1:5" x14ac:dyDescent="0.25">
      <c r="A23" s="18">
        <v>0</v>
      </c>
      <c r="B23" s="20" t="s">
        <v>97</v>
      </c>
      <c r="C23" s="17" t="s">
        <v>23</v>
      </c>
      <c r="D23" s="18">
        <v>0</v>
      </c>
      <c r="E23" s="18"/>
    </row>
    <row r="25" spans="1:5" x14ac:dyDescent="0.25">
      <c r="B25" s="5" t="s">
        <v>7</v>
      </c>
    </row>
    <row r="26" spans="1:5" ht="30" x14ac:dyDescent="0.25">
      <c r="B26" s="7" t="s">
        <v>171</v>
      </c>
    </row>
    <row r="27" spans="1:5" ht="105" x14ac:dyDescent="0.25">
      <c r="B27" s="7" t="s">
        <v>178</v>
      </c>
    </row>
    <row r="28" spans="1:5" ht="105" x14ac:dyDescent="0.25">
      <c r="B28" s="7" t="s">
        <v>179</v>
      </c>
    </row>
    <row r="29" spans="1:5" ht="105" x14ac:dyDescent="0.25">
      <c r="B29" s="7" t="s">
        <v>180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28"/>
  <sheetViews>
    <sheetView workbookViewId="0"/>
  </sheetViews>
  <sheetFormatPr defaultRowHeight="15" x14ac:dyDescent="0.25"/>
  <cols>
    <col min="1" max="1" width="11.140625" style="1" customWidth="1"/>
    <col min="2" max="2" width="91.42578125" customWidth="1"/>
    <col min="3" max="3" width="15.5703125" customWidth="1"/>
    <col min="4" max="4" width="14.28515625" customWidth="1"/>
    <col min="5" max="5" width="11.42578125" customWidth="1"/>
  </cols>
  <sheetData>
    <row r="2" spans="1:5" x14ac:dyDescent="0.25">
      <c r="A2" s="14" t="s">
        <v>0</v>
      </c>
      <c r="B2" s="14" t="s">
        <v>1</v>
      </c>
      <c r="C2" s="14" t="s">
        <v>20</v>
      </c>
      <c r="D2" s="12" t="s">
        <v>21</v>
      </c>
      <c r="E2" s="12" t="s">
        <v>22</v>
      </c>
    </row>
    <row r="3" spans="1:5" x14ac:dyDescent="0.25">
      <c r="A3" s="18" t="s">
        <v>69</v>
      </c>
      <c r="B3" s="20" t="s">
        <v>2</v>
      </c>
      <c r="C3" s="17"/>
      <c r="D3" s="18"/>
      <c r="E3" s="18"/>
    </row>
    <row r="4" spans="1:5" x14ac:dyDescent="0.25">
      <c r="A4" s="10" t="s">
        <v>68</v>
      </c>
      <c r="B4" s="3" t="s">
        <v>121</v>
      </c>
      <c r="C4" s="3" t="s">
        <v>23</v>
      </c>
      <c r="D4" s="10">
        <v>0</v>
      </c>
      <c r="E4" s="3">
        <v>1</v>
      </c>
    </row>
    <row r="6" spans="1:5" x14ac:dyDescent="0.25">
      <c r="B6" s="8" t="s">
        <v>7</v>
      </c>
    </row>
    <row r="7" spans="1:5" ht="57" x14ac:dyDescent="0.25">
      <c r="B7" s="27" t="s">
        <v>148</v>
      </c>
    </row>
    <row r="8" spans="1:5" ht="49.5" customHeight="1" x14ac:dyDescent="0.25">
      <c r="B8" s="28" t="s">
        <v>122</v>
      </c>
    </row>
    <row r="9" spans="1:5" ht="35.25" customHeight="1" x14ac:dyDescent="0.25"/>
    <row r="10" spans="1:5" x14ac:dyDescent="0.25">
      <c r="B10" s="26" t="s">
        <v>138</v>
      </c>
      <c r="C10" s="1">
        <v>20</v>
      </c>
      <c r="D10" t="s">
        <v>123</v>
      </c>
    </row>
    <row r="12" spans="1:5" x14ac:dyDescent="0.25">
      <c r="C12" s="42" t="s">
        <v>124</v>
      </c>
      <c r="D12" s="42"/>
      <c r="E12" s="32"/>
    </row>
    <row r="13" spans="1:5" x14ac:dyDescent="0.25">
      <c r="C13" s="33" t="s">
        <v>127</v>
      </c>
      <c r="D13" s="34">
        <v>103</v>
      </c>
      <c r="E13" s="32" t="s">
        <v>129</v>
      </c>
    </row>
    <row r="14" spans="1:5" x14ac:dyDescent="0.25">
      <c r="C14" s="33" t="s">
        <v>126</v>
      </c>
      <c r="D14" s="35">
        <f>ROUND((D13*C10)/1000,0)</f>
        <v>2</v>
      </c>
      <c r="E14" s="32"/>
    </row>
    <row r="15" spans="1:5" x14ac:dyDescent="0.25">
      <c r="C15" s="33" t="s">
        <v>128</v>
      </c>
      <c r="D15" s="36">
        <f>(D14/C10)*1000</f>
        <v>100</v>
      </c>
      <c r="E15" s="32" t="s">
        <v>129</v>
      </c>
    </row>
    <row r="16" spans="1:5" x14ac:dyDescent="0.25">
      <c r="C16" s="32"/>
      <c r="D16" s="32"/>
      <c r="E16" s="32"/>
    </row>
    <row r="17" spans="2:5" x14ac:dyDescent="0.25">
      <c r="C17" s="33" t="s">
        <v>126</v>
      </c>
      <c r="D17" s="34">
        <v>2</v>
      </c>
      <c r="E17" s="32"/>
    </row>
    <row r="18" spans="2:5" x14ac:dyDescent="0.25">
      <c r="C18" s="33" t="s">
        <v>130</v>
      </c>
      <c r="D18" s="36">
        <f>(D17/C10)*1000</f>
        <v>100</v>
      </c>
      <c r="E18" s="32" t="s">
        <v>129</v>
      </c>
    </row>
    <row r="20" spans="2:5" x14ac:dyDescent="0.25">
      <c r="B20" s="26" t="s">
        <v>137</v>
      </c>
      <c r="C20" s="1">
        <v>0.98357099999999997</v>
      </c>
      <c r="D20" t="s">
        <v>134</v>
      </c>
    </row>
    <row r="21" spans="2:5" x14ac:dyDescent="0.25">
      <c r="B21" s="26" t="s">
        <v>136</v>
      </c>
      <c r="C21" s="37">
        <f>0.64*C20</f>
        <v>0.62948543999999995</v>
      </c>
      <c r="D21" t="s">
        <v>134</v>
      </c>
    </row>
    <row r="22" spans="2:5" x14ac:dyDescent="0.25">
      <c r="B22" s="26"/>
    </row>
    <row r="23" spans="2:5" x14ac:dyDescent="0.25">
      <c r="C23" s="42" t="s">
        <v>131</v>
      </c>
      <c r="D23" s="42"/>
      <c r="E23" s="32"/>
    </row>
    <row r="24" spans="2:5" x14ac:dyDescent="0.25">
      <c r="C24" s="33" t="s">
        <v>132</v>
      </c>
      <c r="D24" s="34">
        <v>65</v>
      </c>
      <c r="E24" s="32" t="s">
        <v>133</v>
      </c>
    </row>
    <row r="25" spans="2:5" x14ac:dyDescent="0.25">
      <c r="C25" s="33" t="s">
        <v>130</v>
      </c>
      <c r="D25" s="38">
        <f>(D24/C21)</f>
        <v>103.2589411440557</v>
      </c>
      <c r="E25" s="32" t="s">
        <v>129</v>
      </c>
    </row>
    <row r="26" spans="2:5" x14ac:dyDescent="0.25">
      <c r="C26" s="32"/>
      <c r="D26" s="32"/>
      <c r="E26" s="32"/>
    </row>
    <row r="27" spans="2:5" x14ac:dyDescent="0.25">
      <c r="C27" s="33" t="s">
        <v>132</v>
      </c>
      <c r="D27" s="34">
        <v>20</v>
      </c>
      <c r="E27" s="32" t="s">
        <v>135</v>
      </c>
    </row>
    <row r="28" spans="2:5" x14ac:dyDescent="0.25">
      <c r="C28" s="33" t="s">
        <v>130</v>
      </c>
      <c r="D28" s="38">
        <f>D27/(C21/3.28084)</f>
        <v>104.23878906555807</v>
      </c>
      <c r="E28" s="32" t="s">
        <v>129</v>
      </c>
    </row>
  </sheetData>
  <mergeCells count="2">
    <mergeCell ref="C12:D12"/>
    <mergeCell ref="C23:D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B8078-AA38-4329-AB98-1F4595D3CC35}">
  <dimension ref="A2:E10"/>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115</v>
      </c>
      <c r="B3" s="20" t="s">
        <v>2</v>
      </c>
      <c r="C3" s="17" t="s">
        <v>23</v>
      </c>
      <c r="D3" s="18"/>
      <c r="E3" s="18"/>
    </row>
    <row r="4" spans="1:5" x14ac:dyDescent="0.25">
      <c r="A4" s="10">
        <v>3</v>
      </c>
      <c r="B4" s="19" t="s">
        <v>114</v>
      </c>
      <c r="C4" s="3" t="s">
        <v>23</v>
      </c>
      <c r="D4" s="10">
        <v>0</v>
      </c>
      <c r="E4" s="10"/>
    </row>
    <row r="5" spans="1:5" x14ac:dyDescent="0.25">
      <c r="A5" s="18">
        <v>2</v>
      </c>
      <c r="B5" s="20" t="s">
        <v>114</v>
      </c>
      <c r="C5" s="17" t="s">
        <v>23</v>
      </c>
      <c r="D5" s="18">
        <v>0</v>
      </c>
      <c r="E5" s="18"/>
    </row>
    <row r="6" spans="1:5" x14ac:dyDescent="0.25">
      <c r="A6" s="10">
        <v>1</v>
      </c>
      <c r="B6" s="19" t="s">
        <v>113</v>
      </c>
      <c r="C6" s="3" t="s">
        <v>23</v>
      </c>
      <c r="D6" s="10">
        <v>0</v>
      </c>
      <c r="E6" s="10">
        <v>1</v>
      </c>
    </row>
    <row r="7" spans="1:5" x14ac:dyDescent="0.25">
      <c r="A7" s="18">
        <v>0</v>
      </c>
      <c r="B7" s="17" t="s">
        <v>116</v>
      </c>
      <c r="C7" s="17" t="s">
        <v>23</v>
      </c>
      <c r="D7" s="18">
        <v>0</v>
      </c>
      <c r="E7" s="18">
        <v>1</v>
      </c>
    </row>
    <row r="9" spans="1:5" x14ac:dyDescent="0.25">
      <c r="B9" s="8" t="s">
        <v>7</v>
      </c>
    </row>
    <row r="10" spans="1:5" x14ac:dyDescent="0.25">
      <c r="B10" s="29" t="s">
        <v>117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7"/>
  <sheetViews>
    <sheetView workbookViewId="0">
      <selection activeCell="C12" sqref="C12:E17"/>
    </sheetView>
  </sheetViews>
  <sheetFormatPr defaultRowHeight="15" x14ac:dyDescent="0.25"/>
  <cols>
    <col min="1" max="1" width="11.140625" style="1" customWidth="1"/>
    <col min="2" max="2" width="92.5703125" customWidth="1"/>
    <col min="3" max="3" width="14.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57.75" x14ac:dyDescent="0.25">
      <c r="B7" s="29" t="s">
        <v>149</v>
      </c>
    </row>
    <row r="8" spans="1:5" ht="39.75" customHeight="1" x14ac:dyDescent="0.25"/>
    <row r="9" spans="1:5" x14ac:dyDescent="0.25">
      <c r="B9" s="7" t="s">
        <v>27</v>
      </c>
    </row>
    <row r="10" spans="1:5" ht="36" customHeight="1" x14ac:dyDescent="0.25"/>
    <row r="11" spans="1:5" x14ac:dyDescent="0.25">
      <c r="B11" s="39" t="s">
        <v>154</v>
      </c>
      <c r="C11" s="1">
        <v>16</v>
      </c>
    </row>
    <row r="12" spans="1:5" ht="16.5" customHeight="1" x14ac:dyDescent="0.25">
      <c r="C12" s="42" t="s">
        <v>150</v>
      </c>
      <c r="D12" s="42"/>
      <c r="E12" s="32"/>
    </row>
    <row r="13" spans="1:5" x14ac:dyDescent="0.25">
      <c r="C13" s="33" t="s">
        <v>151</v>
      </c>
      <c r="D13" s="34">
        <v>40000</v>
      </c>
      <c r="E13" s="32" t="s">
        <v>155</v>
      </c>
    </row>
    <row r="14" spans="1:5" x14ac:dyDescent="0.25">
      <c r="C14" s="33" t="s">
        <v>152</v>
      </c>
      <c r="D14" s="35">
        <f>((D13*509.3140064)/(2^C11))-280.2308787</f>
        <v>30.62972090937501</v>
      </c>
      <c r="E14" s="32" t="s">
        <v>153</v>
      </c>
    </row>
    <row r="16" spans="1:5" x14ac:dyDescent="0.25">
      <c r="C16" s="33" t="s">
        <v>156</v>
      </c>
      <c r="D16" s="34" t="s">
        <v>158</v>
      </c>
      <c r="E16" s="32" t="s">
        <v>157</v>
      </c>
    </row>
    <row r="17" spans="3:5" x14ac:dyDescent="0.25">
      <c r="C17" s="33" t="s">
        <v>152</v>
      </c>
      <c r="D17" s="35">
        <f>((HEX2DEC(D16)*509.3140064)/(2^C11))-280.2308787</f>
        <v>30.62972090937501</v>
      </c>
      <c r="E17" s="32"/>
    </row>
  </sheetData>
  <mergeCells count="1">
    <mergeCell ref="C12:D12"/>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23"/>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78.75" customHeight="1" x14ac:dyDescent="0.25">
      <c r="B7" s="29" t="s">
        <v>47</v>
      </c>
    </row>
    <row r="8" spans="1:5" ht="39.75" customHeight="1" x14ac:dyDescent="0.25"/>
    <row r="9" spans="1:5" x14ac:dyDescent="0.25">
      <c r="B9" s="7" t="s">
        <v>48</v>
      </c>
    </row>
    <row r="10" spans="1:5" ht="36" customHeight="1" x14ac:dyDescent="0.25"/>
    <row r="11" spans="1:5" ht="16.5" customHeight="1" x14ac:dyDescent="0.25"/>
    <row r="12" spans="1:5" x14ac:dyDescent="0.25">
      <c r="B12" s="39" t="s">
        <v>154</v>
      </c>
      <c r="C12" s="1">
        <v>16</v>
      </c>
      <c r="D12" s="32"/>
      <c r="E12" s="32"/>
    </row>
    <row r="13" spans="1:5" x14ac:dyDescent="0.25">
      <c r="B13" s="32"/>
      <c r="C13" s="42" t="s">
        <v>159</v>
      </c>
      <c r="D13" s="42"/>
      <c r="E13" s="32"/>
    </row>
    <row r="14" spans="1:5" x14ac:dyDescent="0.25">
      <c r="B14" s="32"/>
      <c r="C14" s="33" t="s">
        <v>151</v>
      </c>
      <c r="D14" s="34">
        <v>40000</v>
      </c>
      <c r="E14" s="32" t="s">
        <v>155</v>
      </c>
    </row>
    <row r="15" spans="1:5" x14ac:dyDescent="0.25">
      <c r="B15" s="32"/>
      <c r="C15" s="33" t="s">
        <v>160</v>
      </c>
      <c r="D15" s="35">
        <f>(D14/(2^C12))*3</f>
        <v>1.8310546875</v>
      </c>
      <c r="E15" s="32" t="s">
        <v>161</v>
      </c>
    </row>
    <row r="16" spans="1:5" x14ac:dyDescent="0.25">
      <c r="B16" s="32"/>
    </row>
    <row r="17" spans="2:5" x14ac:dyDescent="0.25">
      <c r="B17" s="32"/>
      <c r="C17" s="33" t="s">
        <v>156</v>
      </c>
      <c r="D17" s="34" t="s">
        <v>158</v>
      </c>
      <c r="E17" s="32" t="s">
        <v>157</v>
      </c>
    </row>
    <row r="18" spans="2:5" x14ac:dyDescent="0.25">
      <c r="B18" s="32"/>
      <c r="C18" s="33" t="s">
        <v>160</v>
      </c>
      <c r="D18" s="35">
        <f>(HEX2DEC(D17)/(2^C12))*3</f>
        <v>1.8310546875</v>
      </c>
      <c r="E18" s="32" t="s">
        <v>161</v>
      </c>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sheetData>
  <mergeCells count="1">
    <mergeCell ref="C13:D1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7"/>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84</v>
      </c>
      <c r="B3" s="16" t="s">
        <v>2</v>
      </c>
      <c r="C3" s="17"/>
      <c r="D3" s="18"/>
      <c r="E3" s="18"/>
    </row>
    <row r="4" spans="1:5" ht="15" customHeight="1" x14ac:dyDescent="0.25">
      <c r="A4" s="24">
        <v>23</v>
      </c>
      <c r="B4" s="6" t="s">
        <v>83</v>
      </c>
      <c r="C4" s="3" t="s">
        <v>23</v>
      </c>
      <c r="D4" s="10">
        <v>0</v>
      </c>
      <c r="E4" s="10"/>
    </row>
    <row r="5" spans="1:5" ht="15" customHeight="1" x14ac:dyDescent="0.25">
      <c r="A5" s="15">
        <v>22</v>
      </c>
      <c r="B5" s="16" t="s">
        <v>82</v>
      </c>
      <c r="C5" s="17" t="s">
        <v>23</v>
      </c>
      <c r="D5" s="18">
        <v>0</v>
      </c>
      <c r="E5" s="18">
        <v>1</v>
      </c>
    </row>
    <row r="6" spans="1:5" ht="96.75" customHeight="1" x14ac:dyDescent="0.25">
      <c r="A6" s="24" t="s">
        <v>81</v>
      </c>
      <c r="B6" s="6" t="s">
        <v>118</v>
      </c>
      <c r="C6" s="3" t="s">
        <v>23</v>
      </c>
      <c r="D6" s="10">
        <v>0</v>
      </c>
      <c r="E6" s="10"/>
    </row>
    <row r="7" spans="1:5" ht="15" customHeight="1" x14ac:dyDescent="0.25">
      <c r="A7" s="15" t="s">
        <v>79</v>
      </c>
      <c r="B7" s="16" t="s">
        <v>80</v>
      </c>
      <c r="C7" s="17" t="s">
        <v>23</v>
      </c>
      <c r="D7" s="18">
        <v>0</v>
      </c>
      <c r="E7" s="18"/>
    </row>
    <row r="8" spans="1:5" ht="15" customHeight="1" x14ac:dyDescent="0.25">
      <c r="A8" s="24" t="s">
        <v>85</v>
      </c>
      <c r="B8" s="6" t="s">
        <v>88</v>
      </c>
      <c r="C8" s="3" t="s">
        <v>23</v>
      </c>
      <c r="D8" s="10">
        <v>0</v>
      </c>
      <c r="E8" s="10"/>
    </row>
    <row r="9" spans="1:5" ht="15" customHeight="1" x14ac:dyDescent="0.25">
      <c r="A9" s="15" t="s">
        <v>87</v>
      </c>
      <c r="B9" s="16" t="s">
        <v>89</v>
      </c>
      <c r="C9" s="17" t="s">
        <v>23</v>
      </c>
      <c r="D9" s="18">
        <v>0</v>
      </c>
      <c r="E9" s="18"/>
    </row>
    <row r="10" spans="1:5" ht="15" customHeight="1" x14ac:dyDescent="0.25">
      <c r="A10" s="24">
        <v>1</v>
      </c>
      <c r="B10" s="6" t="s">
        <v>120</v>
      </c>
      <c r="C10" s="3" t="s">
        <v>23</v>
      </c>
      <c r="D10" s="10">
        <v>0</v>
      </c>
      <c r="E10" s="10">
        <v>1</v>
      </c>
    </row>
    <row r="11" spans="1:5" ht="15" customHeight="1" x14ac:dyDescent="0.25">
      <c r="A11" s="15">
        <v>0</v>
      </c>
      <c r="B11" s="16" t="s">
        <v>78</v>
      </c>
      <c r="C11" s="17" t="s">
        <v>23</v>
      </c>
      <c r="D11" s="18">
        <v>0</v>
      </c>
      <c r="E11" s="18"/>
    </row>
    <row r="12" spans="1:5" ht="15" customHeight="1" x14ac:dyDescent="0.25">
      <c r="A12" s="25"/>
      <c r="B12" s="4"/>
      <c r="D12" s="22"/>
      <c r="E12" s="22"/>
    </row>
    <row r="14" spans="1:5" x14ac:dyDescent="0.25">
      <c r="B14" s="11" t="s">
        <v>7</v>
      </c>
    </row>
    <row r="15" spans="1:5" ht="25.5" x14ac:dyDescent="0.25">
      <c r="B15" s="4" t="s">
        <v>162</v>
      </c>
    </row>
    <row r="16" spans="1:5" x14ac:dyDescent="0.25">
      <c r="B16" s="7"/>
    </row>
    <row r="17" spans="2:2" x14ac:dyDescent="0.25">
      <c r="B17" s="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29"/>
  <sheetViews>
    <sheetView workbookViewId="0"/>
  </sheetViews>
  <sheetFormatPr defaultRowHeight="15" x14ac:dyDescent="0.25"/>
  <cols>
    <col min="1" max="1" width="11.140625" style="1" customWidth="1"/>
    <col min="2" max="2" width="93.5703125" customWidth="1"/>
    <col min="3" max="3" width="16"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50</v>
      </c>
      <c r="B3" s="20" t="s">
        <v>2</v>
      </c>
      <c r="C3" s="17" t="s">
        <v>19</v>
      </c>
      <c r="D3" s="18"/>
      <c r="E3" s="18"/>
    </row>
    <row r="4" spans="1:5" x14ac:dyDescent="0.25">
      <c r="A4" s="10" t="s">
        <v>70</v>
      </c>
      <c r="B4" s="3" t="s">
        <v>139</v>
      </c>
      <c r="C4" s="3" t="s">
        <v>23</v>
      </c>
      <c r="D4" s="10">
        <v>0</v>
      </c>
      <c r="E4" s="10" t="s">
        <v>71</v>
      </c>
    </row>
    <row r="6" spans="1:5" x14ac:dyDescent="0.25">
      <c r="B6" s="8" t="s">
        <v>7</v>
      </c>
    </row>
    <row r="7" spans="1:5" ht="29.25" x14ac:dyDescent="0.25">
      <c r="B7" s="29" t="s">
        <v>140</v>
      </c>
    </row>
    <row r="8" spans="1:5" ht="29.25" x14ac:dyDescent="0.25">
      <c r="B8" s="29" t="s">
        <v>141</v>
      </c>
    </row>
    <row r="9" spans="1:5" ht="49.5" customHeight="1" x14ac:dyDescent="0.25"/>
    <row r="10" spans="1:5" x14ac:dyDescent="0.25">
      <c r="B10" s="39" t="s">
        <v>142</v>
      </c>
      <c r="C10" s="32">
        <v>100</v>
      </c>
      <c r="D10" s="32" t="s">
        <v>123</v>
      </c>
      <c r="E10" s="32"/>
    </row>
    <row r="11" spans="1:5" x14ac:dyDescent="0.25">
      <c r="B11" s="32"/>
      <c r="C11" s="32"/>
      <c r="D11" s="32"/>
      <c r="E11" s="32"/>
    </row>
    <row r="12" spans="1:5" x14ac:dyDescent="0.25">
      <c r="B12" s="32"/>
      <c r="C12" s="42" t="s">
        <v>143</v>
      </c>
      <c r="D12" s="42"/>
      <c r="E12" s="32"/>
    </row>
    <row r="13" spans="1:5" x14ac:dyDescent="0.25">
      <c r="B13" s="32"/>
      <c r="C13" s="33" t="s">
        <v>127</v>
      </c>
      <c r="D13" s="34">
        <v>50</v>
      </c>
      <c r="E13" s="32" t="s">
        <v>129</v>
      </c>
    </row>
    <row r="14" spans="1:5" x14ac:dyDescent="0.25">
      <c r="B14" s="32"/>
      <c r="C14" s="33" t="s">
        <v>126</v>
      </c>
      <c r="D14" s="35">
        <f>ROUND((D13*C10)/1000,0)</f>
        <v>5</v>
      </c>
      <c r="E14" s="32"/>
    </row>
    <row r="15" spans="1:5" x14ac:dyDescent="0.25">
      <c r="B15" s="32"/>
      <c r="C15" s="33" t="s">
        <v>128</v>
      </c>
      <c r="D15" s="36">
        <f>(D14/C10)*1000</f>
        <v>50</v>
      </c>
      <c r="E15" s="32" t="s">
        <v>129</v>
      </c>
    </row>
    <row r="16" spans="1:5" x14ac:dyDescent="0.25">
      <c r="B16" s="32"/>
      <c r="C16" s="32"/>
      <c r="D16" s="32"/>
      <c r="E16" s="32"/>
    </row>
    <row r="17" spans="2:5" x14ac:dyDescent="0.25">
      <c r="B17" s="32"/>
      <c r="C17" s="32"/>
      <c r="D17" s="32"/>
      <c r="E17" s="32"/>
    </row>
    <row r="18" spans="2:5" x14ac:dyDescent="0.25">
      <c r="B18" s="32"/>
      <c r="C18" s="32"/>
      <c r="D18" s="32"/>
      <c r="E18" s="32"/>
    </row>
    <row r="19" spans="2:5" x14ac:dyDescent="0.25">
      <c r="B19" s="32"/>
      <c r="C19" s="32"/>
      <c r="D19" s="32"/>
      <c r="E19" s="32"/>
    </row>
    <row r="20" spans="2:5" x14ac:dyDescent="0.25">
      <c r="B20" s="32"/>
      <c r="C20" s="32"/>
      <c r="D20" s="32"/>
      <c r="E20" s="32"/>
    </row>
    <row r="21" spans="2:5" x14ac:dyDescent="0.25">
      <c r="B21" s="32"/>
      <c r="C21" s="32"/>
      <c r="D21" s="32"/>
      <c r="E21" s="32"/>
    </row>
    <row r="22" spans="2:5" x14ac:dyDescent="0.25">
      <c r="B22" s="32"/>
      <c r="C22" s="32"/>
      <c r="D22" s="32"/>
      <c r="E22" s="32"/>
    </row>
    <row r="23" spans="2:5" x14ac:dyDescent="0.25">
      <c r="B23" s="32"/>
      <c r="C23" s="32"/>
      <c r="D23" s="32"/>
      <c r="E23" s="32"/>
    </row>
    <row r="24" spans="2:5" x14ac:dyDescent="0.25">
      <c r="B24" s="32"/>
      <c r="C24" s="32"/>
      <c r="D24" s="32"/>
      <c r="E24" s="32"/>
    </row>
    <row r="25" spans="2:5" x14ac:dyDescent="0.25">
      <c r="B25" s="32"/>
      <c r="C25" s="32"/>
      <c r="D25" s="32"/>
      <c r="E25" s="32"/>
    </row>
    <row r="26" spans="2:5" x14ac:dyDescent="0.25">
      <c r="B26" s="32"/>
      <c r="C26" s="32"/>
      <c r="D26" s="32"/>
      <c r="E26" s="32"/>
    </row>
    <row r="27" spans="2:5" x14ac:dyDescent="0.25">
      <c r="B27" s="32"/>
      <c r="C27" s="32"/>
      <c r="D27" s="32"/>
      <c r="E27" s="32"/>
    </row>
    <row r="28" spans="2:5" x14ac:dyDescent="0.25">
      <c r="B28" s="32"/>
      <c r="C28" s="32"/>
      <c r="D28" s="32"/>
      <c r="E28" s="32"/>
    </row>
    <row r="29" spans="2:5" x14ac:dyDescent="0.25">
      <c r="B29" s="32"/>
      <c r="C29" s="32"/>
      <c r="D29" s="32"/>
      <c r="E29" s="32"/>
    </row>
  </sheetData>
  <mergeCells count="1">
    <mergeCell ref="C12:D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Memory Map</vt:lpstr>
      <vt:lpstr>FW Revision</vt:lpstr>
      <vt:lpstr>Overall Status</vt:lpstr>
      <vt:lpstr>Main Control</vt:lpstr>
      <vt:lpstr>Ksine</vt:lpstr>
      <vt:lpstr>ATB_SW</vt:lpstr>
      <vt:lpstr>Scan_Limit_Result</vt:lpstr>
      <vt:lpstr>System_Status</vt:lpstr>
      <vt:lpstr>SWCR Status Bits</vt:lpstr>
      <vt:lpstr>Cable Delay</vt:lpstr>
      <vt:lpstr>ARM Status</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2025-11-26T19:00:09Z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