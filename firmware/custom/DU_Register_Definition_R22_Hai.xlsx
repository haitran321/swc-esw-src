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Work\Dev\_CM_\Eglin\swc\swc\DU\SW\firmware\custom\"/>
    </mc:Choice>
  </mc:AlternateContent>
  <xr:revisionPtr revIDLastSave="0" documentId="13_ncr:1_{33D7BF88-C4F3-43E3-A965-72D48B35FD6A}" xr6:coauthVersionLast="47" xr6:coauthVersionMax="47" xr10:uidLastSave="{00000000-0000-0000-0000-000000000000}"/>
  <bookViews>
    <workbookView xWindow="-28920" yWindow="-120" windowWidth="29040" windowHeight="15720" activeTab="8" xr2:uid="{00000000-000D-0000-FFFF-FFFF00000000}"/>
  </bookViews>
  <sheets>
    <sheet name="Memory Map" sheetId="2" r:id="rId1"/>
    <sheet name="FW Revision" sheetId="4" r:id="rId2"/>
    <sheet name="Overall Status" sheetId="5" r:id="rId3"/>
    <sheet name="Main Control" sheetId="1" r:id="rId4"/>
    <sheet name="Ksine" sheetId="25" r:id="rId5"/>
    <sheet name="DU_SW" sheetId="33" r:id="rId6"/>
    <sheet name="Scan_Limit_Result" sheetId="42" r:id="rId7"/>
    <sheet name="System_Status" sheetId="43" r:id="rId8"/>
    <sheet name="SWCR Status Bits" sheetId="44" r:id="rId9"/>
    <sheet name="ARM Status" sheetId="48" r:id="rId10"/>
    <sheet name="DCU Enable" sheetId="49" r:id="rId11"/>
    <sheet name="Start Delay SPI Reaback" sheetId="45" r:id="rId12"/>
    <sheet name="Die Temperature" sheetId="27" r:id="rId13"/>
    <sheet name="Voltage" sheetId="41" r:id="rId14"/>
    <sheet name="Diagnostic R-W" sheetId="14" r:id="rId15"/>
    <sheet name="DCU Status" sheetId="47" r:id="rId16"/>
    <sheet name="SPI Read Clk Delay" sheetId="46"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 i="45" l="1"/>
  <c r="D18" i="41" l="1"/>
  <c r="D15" i="41"/>
  <c r="D17" i="27"/>
  <c r="D14" i="27"/>
  <c r="D15" i="46"/>
  <c r="D14" i="46"/>
  <c r="C12" i="45"/>
  <c r="C3" i="2"/>
  <c r="B4" i="2"/>
  <c r="B5" i="2" s="1"/>
  <c r="D16" i="45" l="1"/>
  <c r="D19" i="45" s="1"/>
  <c r="D21" i="45" s="1"/>
  <c r="D22" i="45" s="1"/>
  <c r="C4" i="2"/>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<sst xmlns="http://schemas.openxmlformats.org/spreadsheetml/2006/main" count="786" uniqueCount="214">
  <si>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</si>
  <si>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</si>
  <si>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</si>
  <si>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</si>
  <si>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</si>
  <si>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</si>
  <si>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</si>
  <si>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</si>
  <si>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</si>
  <si>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</si>
  <si>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</si>
  <si>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</si>
  <si>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</si>
  <si>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</si>
  <si>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</si>
  <si>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</si>
  <si>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</si>
  <si>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</si>
  <si>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</si>
  <si>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</si>
  <si>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</si>
  <si>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</si>
  <si>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</si>
  <si>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</si>
  <si>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</si>
  <si>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ADC value of the Die Temperature Voltage reading</t>
  </si>
  <si>
    <t>[2] For referance ONLY:  Voltage to the internal ADC:</t>
  </si>
  <si>
    <t>Overall Status</t>
  </si>
  <si>
    <t>Die Temperature</t>
  </si>
  <si>
    <t>Reserved</t>
  </si>
  <si>
    <t>9..0</t>
  </si>
  <si>
    <t>31..10</t>
  </si>
  <si>
    <t>Mian Control</t>
  </si>
  <si>
    <t>Begin DCU status space</t>
  </si>
  <si>
    <t>arm_ksine_alpha</t>
  </si>
  <si>
    <t>arm_ksine_beta</t>
  </si>
  <si>
    <t>VCCINT Voltage</t>
  </si>
  <si>
    <t>High Temperature alarm</t>
  </si>
  <si>
    <t>VCCINT Alarm</t>
  </si>
  <si>
    <t>VCCAUX Alarm</t>
  </si>
  <si>
    <t>VBRAM Alarm</t>
  </si>
  <si>
    <t>Soft reset.  When toggled from 0 --&gt; 1 several data registers and state machines will be reset. Must be set back to 0 to restart.</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</si>
  <si>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</si>
  <si>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</si>
  <si>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</si>
  <si>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</si>
  <si>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</si>
  <si>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</si>
  <si>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</si>
  <si>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</si>
  <si>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</si>
  <si>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</si>
  <si>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Ready status: 1 =DU ready</t>
  </si>
  <si>
    <t>System Status</t>
  </si>
  <si>
    <t>1..0</t>
  </si>
  <si>
    <t>Test Config: 0=Normal 1=Test mode</t>
  </si>
  <si>
    <t>Software Trigger: Only used when in test mode.  0--&gt;1 transition will run scan limit and send SPI data.</t>
  </si>
  <si>
    <t>Force Test Mode: . 0=Normal Operation 1=Force Test mode</t>
  </si>
  <si>
    <t>BIT Result: 1=Pass 0=Fail</t>
  </si>
  <si>
    <t>Begin SCLK Readback delay settings space</t>
  </si>
  <si>
    <t>DCU Group: 0=Alpha 1=Beta</t>
  </si>
  <si>
    <t>DCU Number: 1 to 152</t>
  </si>
  <si>
    <t>0x00</t>
  </si>
  <si>
    <t>5..0</t>
  </si>
  <si>
    <t>31..6</t>
  </si>
  <si>
    <t>4..0</t>
  </si>
  <si>
    <t>1, 2</t>
  </si>
  <si>
    <t>Overall SWCR Status</t>
  </si>
  <si>
    <t>Alpha DU Status: 0=No Go  1=Go</t>
  </si>
  <si>
    <t>Beta DU Status: 0=No Go  1=Go</t>
  </si>
  <si>
    <t>Temperature Status: 0=No Go  1=Go</t>
  </si>
  <si>
    <t xml:space="preserve">DCU Status: 0=No Go  1=Go </t>
  </si>
  <si>
    <t>CRC Status: 0=CRC Failed  1=CRC Valid (this is for the current transfer)</t>
  </si>
  <si>
    <t>15..8</t>
  </si>
  <si>
    <t>Location setting of the DCU.  1-152</t>
  </si>
  <si>
    <t>21..16</t>
  </si>
  <si>
    <t>Bypass swtich postion: Indicates the bypass switch position. 0=No in Bypass 1=In Bypass</t>
  </si>
  <si>
    <t>31..24</t>
  </si>
  <si>
    <t>7..6</t>
  </si>
  <si>
    <t>31..12</t>
  </si>
  <si>
    <t>5..2</t>
  </si>
  <si>
    <t>DCU FW Major Rev</t>
  </si>
  <si>
    <t>DCU FW Minor Rev</t>
  </si>
  <si>
    <t>Boresight Command: 1=A Boresight command was issued on the last Data Transfer request</t>
  </si>
  <si>
    <t>Off-Line Test Enable: 0=Not enabled 1=Enabled</t>
  </si>
  <si>
    <t>Calibration Command: 1 = A Calibration command was issued on the last Data Transfer request</t>
  </si>
  <si>
    <t>SPI Health: 1 = No CRC Errors for last transaction, 0 = At least one CRC error</t>
  </si>
  <si>
    <t>SWCR Status Bits (19 of 20 bits for SWCR status to be sent out on the next /WLSP)</t>
  </si>
  <si>
    <t>Future Use</t>
  </si>
  <si>
    <t>ATB Status</t>
  </si>
  <si>
    <t>ARM Ksine Steering word value</t>
  </si>
  <si>
    <t>Not use</t>
  </si>
  <si>
    <t>Valid: 1=Steering Word to DCU is Vaild,  0=Steering Word to DCU is not valid</t>
  </si>
  <si>
    <t>Test Mode Data Selection: 0=From TU via ATB 1=From TU via Network</t>
  </si>
  <si>
    <t>Unit Type: 0=Alpha 1=Beta (this will be used to instruct the DCU if it is an Alpha unit or Beta unit).</t>
  </si>
  <si>
    <t>6..5</t>
  </si>
  <si>
    <t>System Configuration/Mode:
00 = Error
01 = SWC
10 = Joint
11 = SWCR</t>
  </si>
  <si>
    <t>b_000</t>
  </si>
  <si>
    <t>b_11</t>
  </si>
  <si>
    <r>
      <t xml:space="preserve">System Config for DCU: Ths is only valid when in Force Test mode:
</t>
    </r>
    <r>
      <rPr>
        <sz val="10"/>
        <color theme="1"/>
        <rFont val="Courier New"/>
        <family val="3"/>
      </rPr>
      <t>00 = Error
01 = SWC
10 = Joint
11 = SCWR</t>
    </r>
  </si>
  <si>
    <t>ARM Initialization Status</t>
  </si>
  <si>
    <t>VCCAUX Voltage</t>
  </si>
  <si>
    <t>Application Ready: 0=Not running 1=Application running</t>
  </si>
  <si>
    <t>Future use</t>
  </si>
  <si>
    <t>31..4</t>
  </si>
  <si>
    <t>ARM Ready: 0=boot not complete, 1=Boot complete</t>
  </si>
  <si>
    <t>DCU Type: 0=Alpha, 1=Beta</t>
  </si>
  <si>
    <t>Delay before SPI read starts after a SPI write begins.</t>
  </si>
  <si>
    <t>MHz</t>
  </si>
  <si>
    <r>
      <rPr>
        <b/>
        <sz val="11"/>
        <color theme="1"/>
        <rFont val="Arial"/>
        <family val="2"/>
      </rPr>
      <t>[2]</t>
    </r>
    <r>
      <rPr>
        <sz val="11"/>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</si>
  <si>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Reg Value</t>
  </si>
  <si>
    <t>Delay (wanted)</t>
  </si>
  <si>
    <t>Delay achived</t>
  </si>
  <si>
    <t>ns</t>
  </si>
  <si>
    <t>Delay</t>
  </si>
  <si>
    <t>Cable Delay calculator</t>
  </si>
  <si>
    <t>Cable Length</t>
  </si>
  <si>
    <t>Feet</t>
  </si>
  <si>
    <t>feet/nanosecond</t>
  </si>
  <si>
    <t xml:space="preserve"> Cable Delay (64% the speed of light for CAT-5) =</t>
  </si>
  <si>
    <t xml:space="preserve"> Speed of Light =</t>
  </si>
  <si>
    <t>Delay in clock counts of the internal SPI clock for reading data back on MISO.</t>
  </si>
  <si>
    <t>[1]: This is considerd the "fine delay" for the SPI read back. Each of the 152 SPI interfaces and it own delay setting (unlike the "course" cable delay that applies to all interfaces).</t>
  </si>
  <si>
    <t>[2] This max delay is one SPI Clock peroid.  The resolution is the FPGA system clock.  The following equation defines the delay calculation.</t>
  </si>
  <si>
    <t>System Clock Frequency =</t>
  </si>
  <si>
    <t>Delay Calculation</t>
  </si>
  <si>
    <r>
      <t>[1]</t>
    </r>
    <r>
      <rPr>
        <sz val="11"/>
        <color theme="1"/>
        <rFont val="Arial"/>
        <family val="2"/>
      </rPr>
      <t xml:space="preserve"> In the current</t>
    </r>
    <r>
      <rPr>
        <b/>
        <sz val="11"/>
        <color theme="1"/>
        <rFont val="Arial"/>
        <family val="2"/>
      </rPr>
      <t xml:space="preserve"> </t>
    </r>
    <r>
      <rPr>
        <sz val="11"/>
        <color theme="1"/>
        <rFont val="Arial"/>
        <family val="2"/>
      </rPr>
      <t>DU hardware there is no provision to know if the unit is for Alpha or Beta.  The currnet method to set this bit is based on the network address which will be set as part of initial setup.  The base DU SW will have a default address that is not Alpha or Beta but one that can be accessed through the closed network so the IP address can be changed.</t>
    </r>
  </si>
  <si>
    <r>
      <rPr>
        <b/>
        <sz val="11"/>
        <color theme="1"/>
        <rFont val="Arial"/>
        <family val="2"/>
      </rPr>
      <t>[3]</t>
    </r>
    <r>
      <rPr>
        <sz val="11"/>
        <color theme="1"/>
        <rFont val="Arial"/>
        <family val="2"/>
      </rPr>
      <t>: By setting the Valid bit to 0, commands can be sent to the DCU without the steeering word being updated.  When an /RLTD from the ATB is received this register bit will be overridden to '1' for that transaction.  This bit is only used when in off-line mode and data is from the network.</t>
    </r>
  </si>
  <si>
    <r>
      <rPr>
        <b/>
        <sz val="11"/>
        <color theme="1"/>
        <rFont val="Arial"/>
        <family val="2"/>
      </rPr>
      <t>[4]</t>
    </r>
    <r>
      <rPr>
        <sz val="11"/>
        <color theme="1"/>
        <rFont val="Arial"/>
        <family val="2"/>
      </rPr>
      <t xml:space="preserve"> When in force test mode these bits determine if the DCU is in SWC, Joint, or SWCR.  In all other cases the system configuration is determined by the ATB user interface switch setting.</t>
    </r>
  </si>
  <si>
    <r>
      <rPr>
        <b/>
        <sz val="11"/>
        <color theme="1"/>
        <rFont val="Arial"/>
        <family val="2"/>
      </rPr>
      <t>[5]</t>
    </r>
    <r>
      <rPr>
        <sz val="11"/>
        <color theme="1"/>
        <rFont val="Arial"/>
        <family val="2"/>
      </rPr>
      <t xml:space="preserve">: The below descriptions indicate when the register value is used as the command to the DCU:
Boresight:   This command is only used from this register when in Test Mode AND Data is coming from the Network.
Calibration:  This command is only used from this register when in Test Mode AND Data is coming from the Network.
CRC Reset: This command allways comes from this register. It is edge triggered in the DCU so it must be toggled to send again.
Reset DCU: This command allways comes from this register. </t>
    </r>
    <r>
      <rPr>
        <b/>
        <sz val="11"/>
        <color theme="1"/>
        <rFont val="Arial"/>
        <family val="2"/>
      </rPr>
      <t>NOTICE</t>
    </r>
    <r>
      <rPr>
        <sz val="11"/>
        <color theme="1"/>
        <rFont val="Arial"/>
        <family val="2"/>
      </rPr>
      <t xml:space="preserve"> sending this command will "soft" reset all DCUs.</t>
    </r>
  </si>
  <si>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</si>
  <si>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Temperature Calculation</t>
  </si>
  <si>
    <t>ADC Counts</t>
  </si>
  <si>
    <t xml:space="preserve">Temperature  </t>
  </si>
  <si>
    <t>°C</t>
  </si>
  <si>
    <t>ADC Bits used =</t>
  </si>
  <si>
    <t>Decimal</t>
  </si>
  <si>
    <t xml:space="preserve">ADC Counts </t>
  </si>
  <si>
    <t>Hex</t>
  </si>
  <si>
    <t>9C40</t>
  </si>
  <si>
    <t>Voltage Calculation</t>
  </si>
  <si>
    <t xml:space="preserve">Voltage  </t>
  </si>
  <si>
    <t>V</t>
  </si>
  <si>
    <t>[1] The DU sends this info to the DCU this over the SPI bus.  It will not be updated by the DCU until the next SPI Transaction after it was set.</t>
  </si>
  <si>
    <t>Over Temperature alarm</t>
  </si>
  <si>
    <r>
      <rPr>
        <b/>
        <sz val="11"/>
        <color theme="1"/>
        <rFont val="Calibri"/>
        <family val="2"/>
        <scheme val="minor"/>
      </rPr>
      <t>[1]</t>
    </r>
    <r>
      <rPr>
        <sz val="11"/>
        <color theme="1"/>
        <rFont val="Calibri"/>
        <family val="2"/>
        <scheme val="minor"/>
      </rPr>
      <t xml:space="preserve"> There are two temperature alarms for FPGA Die temperature.  The high temp alarm is only an indicator that die temperature is high but not critical.  The Over temperature alarm indicates a die temperature that could be potentially harmful to the device.  Current Thresholds are:
High Temp: Alarm Set = 85C Alarm turn off after set = 80C
Over Temp: Alarm Set = 100C Alarm turn off after set = 95C</t>
    </r>
  </si>
  <si>
    <r>
      <rPr>
        <b/>
        <sz val="11"/>
        <color theme="1"/>
        <rFont val="Calibri"/>
        <family val="2"/>
        <scheme val="minor"/>
      </rPr>
      <t>[3]</t>
    </r>
    <r>
      <rPr>
        <sz val="11"/>
        <color theme="1"/>
        <rFont val="Calibri"/>
        <family val="2"/>
        <scheme val="minor"/>
      </rPr>
      <t xml:space="preserve"> This is the overall Built-In-Test (BIT) result.  It is a rolled up result of all other status bits.</t>
    </r>
  </si>
  <si>
    <r>
      <rPr>
        <b/>
        <sz val="11"/>
        <color theme="1"/>
        <rFont val="Calibri"/>
        <family val="2"/>
        <scheme val="minor"/>
      </rPr>
      <t>[2]</t>
    </r>
    <r>
      <rPr>
        <sz val="11"/>
        <color theme="1"/>
        <rFont val="Calibri"/>
        <family val="2"/>
        <scheme val="minor"/>
      </rPr>
      <t xml:space="preserve"> The currently set voltage thresholds are shown below:
VCCINT: Lower: 0.78 Upper 0.92 (nominal 0.85)
VCCAUX: Lower: 1.75 Upper 1.89 (nominal 1.8)
VBRAM: Lower: 0.78 Upper 0.92 (nominal 0.85)</t>
    </r>
  </si>
  <si>
    <t>5..4</t>
  </si>
  <si>
    <t>System Configuration: (WLAC16=Bit5, WLAC15=Bit4)
Bit3/Bit4
00 = Error
01 = SWC 
10 = Joint
11 = SWCR Only</t>
  </si>
  <si>
    <r>
      <rPr>
        <b/>
        <sz val="11"/>
        <color theme="1"/>
        <rFont val="Calibri"/>
        <family val="2"/>
        <scheme val="minor"/>
      </rPr>
      <t>[1]</t>
    </r>
    <r>
      <rPr>
        <sz val="11"/>
        <color theme="1"/>
        <rFont val="Calibri"/>
        <family val="2"/>
        <scheme val="minor"/>
      </rPr>
      <t xml:space="preserve"> Data type determines which data is populated for WLAC11 - WLAC16.  The FW will populate the    20-status bits to the ATB/TWGS as indicated below:</t>
    </r>
  </si>
  <si>
    <t>18..17</t>
  </si>
  <si>
    <t>16..15</t>
  </si>
  <si>
    <t xml:space="preserve">+12 Power Status: 0=No Go  1=Go </t>
  </si>
  <si>
    <t xml:space="preserve">+24 Power Status: 0=No Go  1=Go </t>
  </si>
  <si>
    <t>Alpha DCU Rollup: 
00=Error
01 = Red      
10 = Yellow 
11 = Green</t>
  </si>
  <si>
    <t>Beta DCU Rollup:
00=Error
01 = Red 
10 = Yellow
11 = Green</t>
  </si>
  <si>
    <r>
      <rPr>
        <b/>
        <sz val="11"/>
        <color theme="1"/>
        <rFont val="Calibri"/>
        <family val="2"/>
        <scheme val="minor"/>
      </rPr>
      <t>Data Type = Config</t>
    </r>
    <r>
      <rPr>
        <sz val="11"/>
        <color theme="1"/>
        <rFont val="Calibri"/>
        <family val="2"/>
        <scheme val="minor"/>
      </rPr>
      <t>:
WLAC11 = Future use
WLAC12 = Future use
WLAC13 = Future use
WLAC14 = Mode: Bit-3
WLAC15 = Systen Configuraiton LSB: Bit-4
WLAC16 = Systen Configuraiton MSB: status reg Bit-5</t>
    </r>
  </si>
  <si>
    <r>
      <rPr>
        <b/>
        <sz val="11"/>
        <color theme="1"/>
        <rFont val="Calibri"/>
        <family val="2"/>
        <scheme val="minor"/>
      </rPr>
      <t>Data Type = Status</t>
    </r>
    <r>
      <rPr>
        <sz val="11"/>
        <color theme="1"/>
        <rFont val="Calibri"/>
        <family val="2"/>
        <scheme val="minor"/>
      </rPr>
      <t>:
WLAC11 = Beta DCU rollup LSB bit: status register Bit-15
WLAC12 = Beta DCU rollup MSB bit: status register Bit-16
WLAC13 = Alpha DCU rollup LSB bit: status register Bit-17
WLAC14 = Alpha DCU rollup MSB bit: status register Bit-18
WLAC15 = Beta DU status: status reg Bit-19
WLAC16 = Alpha DU status: status reg Bit-20</t>
    </r>
  </si>
  <si>
    <r>
      <rPr>
        <b/>
        <sz val="11"/>
        <color theme="1"/>
        <rFont val="Calibri"/>
        <family val="2"/>
        <scheme val="minor"/>
      </rPr>
      <t>Data Type = I/O Module Status</t>
    </r>
    <r>
      <rPr>
        <sz val="11"/>
        <color theme="1"/>
        <rFont val="Calibri"/>
        <family val="2"/>
        <scheme val="minor"/>
      </rPr>
      <t>:
WLAC11 = Future use
WLAC12 = Future use
WLAC13 = ATB Status: status reg Bit-11
WLAC14 = +24V Power Status: status reg Bit-12
WLAC15 = +12V Power Status: status reg Bit-13
WLAC16 = Temperature Status: status reg Bit-14</t>
    </r>
  </si>
  <si>
    <t>Shutdown Command: 0=Normal Operation, 1=Shutdown</t>
  </si>
  <si>
    <r>
      <rPr>
        <b/>
        <sz val="11"/>
        <color theme="1"/>
        <rFont val="Arial"/>
        <family val="2"/>
      </rPr>
      <t>[6]</t>
    </r>
    <r>
      <rPr>
        <sz val="11"/>
        <color theme="1"/>
        <rFont val="Arial"/>
        <family val="2"/>
      </rPr>
      <t xml:space="preserve"> When this bit is one the DU will no longer process incoming commands from the ATB</t>
    </r>
  </si>
  <si>
    <t>Commanded Sys Conifg: Indicates if the DCU is commanded to SWC or SWCR mode.  0=SWCR and 1=SWC.</t>
  </si>
  <si>
    <t>BIT (Built-In-Self Test):
Bit16: TBD
Bit17: Compare of DCU Steering Word to Legacy Steering Word.  1=same and 0=different. This status is always one Data Transaction behind.
Bit18: SPI Communicaiton Health: 1=CRC errors under threshold and 0=CRC errors over threshold. Threshold is TBD.
Bit19: Location setting valid: 1=Valid setting and 0=Invalid Setting. Valid settings are 1 to 152
Bit20: Clock Health for internal and external clocks: 1=CPLD PLL Locked and 0=CPLD PLL Not Locked
Bit21: BIT Overall Status: 1=Passed and 0=Failed (roll up of abovwe bits excpet for Bit17, compare)</t>
  </si>
  <si>
    <t>7..0</t>
  </si>
  <si>
    <t>DCU Number</t>
  </si>
  <si>
    <t>Not used</t>
  </si>
  <si>
    <t>1. This register is used to determine which DCUs will be checked in roll up status for CRC error and compare.  NOTICE: The compare bit is for depot level diagnostics only.</t>
  </si>
  <si>
    <t>2. Setting this register to zero enables all DCUs</t>
  </si>
  <si>
    <t>30..8</t>
  </si>
  <si>
    <t>Reset all DCUs to disabled</t>
  </si>
  <si>
    <t>3. Once a number is set it will saved as enabled unless the disable all bit (bit-31) is set high.  Since the default will be all DCUs enabled at power up a reset must be done before enabling only specific DCUs</t>
  </si>
  <si>
    <t>DCU Enable (only effects roll up status bits)</t>
  </si>
  <si>
    <t>17..16</t>
  </si>
  <si>
    <t>19..18</t>
  </si>
  <si>
    <r>
      <t xml:space="preserve">Scan Limit Calculation Center Frequency Select:
</t>
    </r>
    <r>
      <rPr>
        <sz val="10"/>
        <color theme="1"/>
        <rFont val="Courier New"/>
        <family val="3"/>
      </rPr>
      <t>00 = 442MHz
01 = 444MHz
10 = 445MHz
11 = 446MHz</t>
    </r>
  </si>
  <si>
    <t>Compare Result: 1 = SWC &amp; SWCR the same 0 = SWC &amp; SWCR Different</t>
  </si>
  <si>
    <r>
      <t xml:space="preserve">DCU Command: Some commands from this register are only used in specific modes. See notes.
</t>
    </r>
    <r>
      <rPr>
        <sz val="10"/>
        <color theme="1"/>
        <rFont val="Courier New"/>
        <family val="3"/>
      </rPr>
      <t>000 = None        100 = Reset DCU
001 = Borsite     101 = Test Pattern Read Back
010 = Calibration 110 = Future Use
011 = CRC Reset   111 = Future Use</t>
    </r>
  </si>
  <si>
    <t>DCU Read Back Status: 1=Good  0=Error</t>
  </si>
  <si>
    <t>DCU BIT: 1=BIT Passed 0=BIT Failed.  Need to review the individual DCU read backs to find failure.</t>
  </si>
  <si>
    <t>[1]: This is a rolled up status for all 76 connected DCUs.  It is updated every transaction.  Any "Enabled" DCU with a CRC error will make this bit 0.</t>
  </si>
  <si>
    <t>[2]: lThis is a rolled up status for all 76 DCUs.  The result is always one transaction behind but updated every transaction.  Any "Enabled" DCU with a compare error will this bit 0. Note any DCU in the SWCR mode will always report the compare bit as '1' (good)</t>
  </si>
  <si>
    <t>[3]: lThis is a rolled up status for all 76 DCUs. Each read back is checked.  If the read back is all ones or all zeros the bit set to 0 to indicated a communications error.  The most likely  cause is that the DCU is not connected (all ones) or there is an LVDS driver issue (all zeros).  This bit is checked and updated every transaction. Only "Enabled" DCU are checked.</t>
  </si>
  <si>
    <t>[4]: lThis is a rolled up status for all 76 DCUs. The Overal BIT status of each DCU is checked.  If any of their status failes this bit will be 0.</t>
  </si>
  <si>
    <t>Start Delay for SPI Read Back Fanout Baord 1</t>
  </si>
  <si>
    <t>Start Delay for SPI Read Back Fanout Baord 2</t>
  </si>
  <si>
    <t>Start Delay for SPI Read Back Fanout Baord 3</t>
  </si>
  <si>
    <t>Start Delay for SPI Read Back Fanout Baord 4</t>
  </si>
  <si>
    <t xml:space="preserve"> Where System Clock  Frequency =</t>
  </si>
  <si>
    <t>Cable Delay</t>
  </si>
  <si>
    <t>Fixed Delay</t>
  </si>
  <si>
    <t>Delay Required</t>
  </si>
  <si>
    <t>Register Value</t>
  </si>
  <si>
    <t>Delay Estimator</t>
  </si>
  <si>
    <t>[2] This delay is defined in number of system clocks. The calculator below can be used as a guide for an initial starting point for different cable lengths.  However the SPI clock delay may still need to be adjusted for proper read back.</t>
  </si>
  <si>
    <t>[1] This delay is used to account for the round trip delay for SPI Read Back data (MISO signal).  The delays include component delays, trace delays, digital filter delays, and CAT-5 cable length.  The cable delay is the dominate factor with other delays being within a +/-15ns margin for all boards and SPI channels. In Addition, all Alpha cables and all beta cables will be the same length (but Alpha and Beta lengths will be different).  This allows for a single start delay to be applied to all 152 SPI channels per DU.</t>
  </si>
  <si>
    <t>Test Mode (ATB Swtich): 0 = Online, 1=Offline.  Only applicaple when in "Force Test"</t>
  </si>
  <si>
    <t>Offline-Test-Enable (OLTE SC): 0 = Online, 1=Offline.  Only applicaple when in "Force Test"</t>
  </si>
  <si>
    <t>[1] This register is used to check if the ARM is running.  After the ARM has booted and written to this register, a 10 seoncd counter will start.  If this register is written to it will reset the counter.  If the counter reaches 10-seconds it is assumed the application is not running and the bottom right LED will be turnned off.</t>
  </si>
  <si>
    <t>Last version to affect the register map: 3.5</t>
  </si>
  <si>
    <t>Clear /RLTD Log: Toggling this bit from 0 to 1 will clear the log values from block RAM</t>
  </si>
  <si>
    <t>Latest Cycle Time (Time from RLTD to end of SPI transfers in clock counts)</t>
  </si>
  <si>
    <t>Address for /RLTD Log</t>
  </si>
  <si>
    <t>Data From /RLTD Log</t>
  </si>
  <si>
    <t>ATB Signal Read Delay (delay after /RLTD before reading steering words)</t>
  </si>
  <si>
    <t>Overrun</t>
  </si>
  <si>
    <r>
      <rPr>
        <b/>
        <sz val="11"/>
        <color theme="1"/>
        <rFont val="Calibri"/>
        <family val="2"/>
        <scheme val="minor"/>
      </rPr>
      <t>[4]</t>
    </r>
    <r>
      <rPr>
        <sz val="11"/>
        <color theme="1"/>
        <rFont val="Calibri"/>
        <family val="2"/>
        <scheme val="minor"/>
      </rPr>
      <t xml:space="preserve"> This bit indicates if a transaction took more than 10us</t>
    </r>
  </si>
  <si>
    <t>30..7</t>
  </si>
  <si>
    <t>23..21</t>
  </si>
  <si>
    <t>30 .. 24</t>
  </si>
  <si>
    <t>sw_alpha (Steering word sent to the DU)</t>
  </si>
  <si>
    <t>sw_beta (Steering word sent to the DU)</t>
  </si>
  <si>
    <t>Steering Word sent to the DU</t>
  </si>
  <si>
    <r>
      <t xml:space="preserve">Data Type: (WLAC18=Bit7 and WLAC17=Bit6)
00 = Error
01 = Config
10 = Status 
</t>
    </r>
    <r>
      <rPr>
        <sz val="11"/>
        <color rgb="FF0070C0"/>
        <rFont val="Calibri"/>
        <family val="2"/>
        <scheme val="minor"/>
      </rPr>
      <t>11 = Future Use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</si>
</sst>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sz val="10"/>
      <color theme="1"/>
      <name val="Courier New"/>
      <family val="3"/>
    </font>
    <font>
      <sz val="11"/>
      <color theme="1"/>
      <name val="Arial"/>
      <family val="2"/>
    </font>
    <font>
      <b/>
      <sz val="11"/>
      <color theme="1"/>
      <name val="Arial"/>
      <family val="2"/>
    </font>
    <font>
      <sz val="11"/>
      <name val="Calibri"/>
      <family val="2"/>
      <scheme val="minor"/>
    </font>
    <font>
      <sz val="11"/>
      <color rgb="FF0070C0"/>
      <name val="Calibri"/>
      <family val="2"/>
      <scheme val="minor"/>
    </font>
  </fonts>
  <fills count="8">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5">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right"/>
    </xf>
    <xf numFmtId="0" fontId="8" fillId="0" borderId="0" xfId="0" applyFont="1" applyAlignment="1">
      <alignment vertical="center" wrapText="1" readingOrder="1"/>
    </xf>
    <xf numFmtId="49" fontId="8" fillId="0" borderId="0" xfId="0" applyNumberFormat="1" applyFont="1" applyAlignment="1">
      <alignment horizontal="left" vertical="top" wrapText="1"/>
    </xf>
    <xf numFmtId="0" fontId="8" fillId="0" borderId="0" xfId="0" applyFont="1" applyAlignment="1">
      <alignment wrapText="1"/>
    </xf>
    <xf numFmtId="0" fontId="9" fillId="0" borderId="0" xfId="0" applyFont="1" applyAlignment="1">
      <alignment vertical="center" wrapText="1"/>
    </xf>
    <xf numFmtId="0" fontId="8" fillId="0" borderId="0" xfId="0" applyFont="1" applyAlignment="1">
      <alignment vertical="center" wrapText="1"/>
    </xf>
    <xf numFmtId="0" fontId="8" fillId="0" borderId="0" xfId="0" applyFont="1"/>
    <xf numFmtId="0" fontId="8" fillId="0" borderId="1" xfId="0" applyFont="1" applyBorder="1"/>
    <xf numFmtId="0" fontId="8" fillId="5" borderId="1" xfId="0" applyFont="1" applyFill="1" applyBorder="1"/>
    <xf numFmtId="0" fontId="8" fillId="6" borderId="1" xfId="0" applyFont="1" applyFill="1" applyBorder="1"/>
    <xf numFmtId="0" fontId="8" fillId="7" borderId="1" xfId="0" applyFont="1" applyFill="1" applyBorder="1"/>
    <xf numFmtId="2" fontId="0" fillId="0" borderId="0" xfId="0" applyNumberFormat="1" applyAlignment="1">
      <alignment horizontal="left"/>
    </xf>
    <xf numFmtId="2" fontId="8" fillId="7" borderId="1" xfId="0" applyNumberFormat="1" applyFont="1" applyFill="1" applyBorder="1"/>
    <xf numFmtId="0" fontId="8" fillId="0" borderId="0" xfId="0" applyFont="1" applyAlignment="1">
      <alignment horizontal="right"/>
    </xf>
    <xf numFmtId="0" fontId="10" fillId="0" borderId="1" xfId="0" applyFont="1" applyBorder="1" applyAlignment="1">
      <alignment horizontal="center"/>
    </xf>
    <xf numFmtId="0" fontId="10" fillId="0" borderId="1" xfId="0" applyFont="1" applyBorder="1"/>
    <xf numFmtId="0" fontId="0" fillId="6" borderId="1" xfId="0" applyFill="1" applyBorder="1"/>
    <xf numFmtId="2" fontId="0" fillId="0" borderId="1" xfId="0" applyNumberFormat="1" applyBorder="1"/>
    <xf numFmtId="0" fontId="0" fillId="7" borderId="1" xfId="0" applyFill="1" applyBorder="1"/>
    <xf numFmtId="0" fontId="0" fillId="6" borderId="1" xfId="0" applyFill="1" applyBorder="1" applyAlignment="1">
      <alignment wrapText="1"/>
    </xf>
    <xf numFmtId="0" fontId="0" fillId="6" borderId="0" xfId="0" applyFill="1" applyAlignment="1">
      <alignment wrapText="1"/>
    </xf>
    <xf numFmtId="0" fontId="1" fillId="6" borderId="1" xfId="0" applyFont="1" applyFill="1" applyBorder="1" applyAlignment="1">
      <alignment horizontal="center" vertical="center" wrapText="1"/>
    </xf>
    <xf numFmtId="0" fontId="1" fillId="6" borderId="1" xfId="0" applyFont="1" applyFill="1" applyBorder="1" applyAlignment="1">
      <alignment vertical="center" wrapText="1"/>
    </xf>
    <xf numFmtId="0" fontId="0" fillId="4" borderId="1" xfId="0" applyFill="1" applyBorder="1" applyAlignment="1">
      <alignment horizontal="left"/>
    </xf>
    <xf numFmtId="0" fontId="8" fillId="4" borderId="1" xfId="0" applyFont="1" applyFill="1" applyBorder="1" applyAlignment="1">
      <alignment horizontal="center"/>
    </xf>
    <xf numFmtId="0" fontId="0" fillId="4" borderId="1" xfId="0" applyFill="1" applyBorder="1" applyAlignment="1">
      <alignment horizontal="center"/>
    </xf>
    <xf numFmtId="0" fontId="8" fillId="0" borderId="1" xfId="0" applyFont="1" applyBorder="1" applyAlignment="1">
      <alignment horizontal="center"/>
    </xf>
    <xf numFmtId="0" fontId="0" fillId="6" borderId="1" xfId="0" quotePrefix="1" applyFill="1" applyBorder="1"/>
    <xf numFmtId="0" fontId="10" fillId="6"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8</xdr:row>
      <xdr:rowOff>57150</xdr:rowOff>
    </xdr:from>
    <xdr:to>
      <xdr:col>1</xdr:col>
      <xdr:colOff>5953125</xdr:colOff>
      <xdr:row>8</xdr:row>
      <xdr:rowOff>561975</xdr:rowOff>
    </xdr:to>
    <xdr:pic>
      <xdr:nvPicPr>
        <xdr:cNvPr id="2" name="Picture 1">
          <a:extLst>
            <a:ext uri="{FF2B5EF4-FFF2-40B4-BE49-F238E27FC236}">
              <a16:creationId xmlns:a16="http://schemas.microsoft.com/office/drawing/2014/main" id="{61583B2F-CBC0-B2E0-F0B2-9D1715D85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943100"/>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topLeftCell="A31" workbookViewId="0">
      <selection activeCell="F8" sqref="F8"/>
    </sheetView>
  </sheetViews>
  <sheetFormatPr defaultRowHeight="15" x14ac:dyDescent="0.25"/>
  <cols>
    <col min="1" max="1" width="5.28515625" customWidth="1"/>
    <col min="2" max="2" width="11.42578125" customWidth="1"/>
    <col min="3" max="3" width="16" customWidth="1"/>
    <col min="4" max="4" width="71.7109375" customWidth="1"/>
    <col min="5" max="5" width="15.570312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42" t="s">
        <v>27</v>
      </c>
      <c r="E4" s="3" t="s">
        <v>14</v>
      </c>
    </row>
    <row r="5" spans="2:5" x14ac:dyDescent="0.25">
      <c r="B5" s="10">
        <f t="shared" ref="B5:B34" si="1">B4+1</f>
        <v>2</v>
      </c>
      <c r="C5" s="3" t="str">
        <f t="shared" si="0"/>
        <v>0x0008</v>
      </c>
      <c r="D5" s="42" t="s">
        <v>32</v>
      </c>
      <c r="E5" s="3" t="s">
        <v>15</v>
      </c>
    </row>
    <row r="6" spans="2:5" x14ac:dyDescent="0.25">
      <c r="B6" s="10">
        <f t="shared" si="1"/>
        <v>3</v>
      </c>
      <c r="C6" s="3" t="str">
        <f t="shared" si="0"/>
        <v>0x000C</v>
      </c>
      <c r="D6" s="3" t="s">
        <v>34</v>
      </c>
      <c r="E6" s="3" t="s">
        <v>15</v>
      </c>
    </row>
    <row r="7" spans="2:5" x14ac:dyDescent="0.25">
      <c r="B7" s="10">
        <f t="shared" si="1"/>
        <v>4</v>
      </c>
      <c r="C7" s="3" t="str">
        <f t="shared" si="0"/>
        <v>0x0010</v>
      </c>
      <c r="D7" s="3" t="s">
        <v>35</v>
      </c>
      <c r="E7" s="3" t="s">
        <v>15</v>
      </c>
    </row>
    <row r="8" spans="2:5" x14ac:dyDescent="0.25">
      <c r="B8" s="10">
        <f t="shared" si="1"/>
        <v>5</v>
      </c>
      <c r="C8" s="3" t="str">
        <f t="shared" si="0"/>
        <v>0x0014</v>
      </c>
      <c r="D8" s="3" t="s">
        <v>210</v>
      </c>
      <c r="E8" s="3" t="s">
        <v>14</v>
      </c>
    </row>
    <row r="9" spans="2:5" x14ac:dyDescent="0.25">
      <c r="B9" s="10">
        <f t="shared" si="1"/>
        <v>6</v>
      </c>
      <c r="C9" s="3" t="str">
        <f t="shared" si="0"/>
        <v>0x0018</v>
      </c>
      <c r="D9" s="3" t="s">
        <v>211</v>
      </c>
      <c r="E9" s="3" t="s">
        <v>14</v>
      </c>
    </row>
    <row r="10" spans="2:5" x14ac:dyDescent="0.25">
      <c r="B10" s="10">
        <f t="shared" si="1"/>
        <v>7</v>
      </c>
      <c r="C10" s="3" t="str">
        <f t="shared" si="0"/>
        <v>0x001C</v>
      </c>
      <c r="D10" s="3" t="s">
        <v>45</v>
      </c>
      <c r="E10" s="3" t="s">
        <v>14</v>
      </c>
    </row>
    <row r="11" spans="2:5" x14ac:dyDescent="0.25">
      <c r="B11" s="10">
        <f t="shared" si="1"/>
        <v>8</v>
      </c>
      <c r="C11" s="3" t="str">
        <f t="shared" si="0"/>
        <v>0x0020</v>
      </c>
      <c r="D11" s="3" t="s">
        <v>53</v>
      </c>
      <c r="E11" s="3" t="s">
        <v>14</v>
      </c>
    </row>
    <row r="12" spans="2:5" x14ac:dyDescent="0.25">
      <c r="B12" s="10">
        <f t="shared" si="1"/>
        <v>9</v>
      </c>
      <c r="C12" s="3" t="str">
        <f t="shared" si="0"/>
        <v>0x0024</v>
      </c>
      <c r="D12" s="3" t="s">
        <v>87</v>
      </c>
      <c r="E12" s="3" t="s">
        <v>15</v>
      </c>
    </row>
    <row r="13" spans="2:5" x14ac:dyDescent="0.25">
      <c r="B13" s="10">
        <f t="shared" si="1"/>
        <v>10</v>
      </c>
      <c r="C13" s="3" t="str">
        <f t="shared" si="0"/>
        <v>0x0028</v>
      </c>
      <c r="D13" s="3" t="s">
        <v>16</v>
      </c>
      <c r="E13" s="3" t="s">
        <v>15</v>
      </c>
    </row>
    <row r="14" spans="2:5" x14ac:dyDescent="0.25">
      <c r="B14" s="10">
        <f t="shared" si="1"/>
        <v>11</v>
      </c>
      <c r="C14" s="3" t="str">
        <f t="shared" si="0"/>
        <v>0x002C</v>
      </c>
      <c r="D14" s="3" t="s">
        <v>100</v>
      </c>
      <c r="E14" s="3" t="s">
        <v>15</v>
      </c>
    </row>
    <row r="15" spans="2:5" x14ac:dyDescent="0.25">
      <c r="B15" s="10">
        <f t="shared" si="1"/>
        <v>12</v>
      </c>
      <c r="C15" s="3" t="str">
        <f t="shared" si="0"/>
        <v>0x0030</v>
      </c>
      <c r="D15" s="3" t="s">
        <v>172</v>
      </c>
      <c r="E15" s="3" t="s">
        <v>15</v>
      </c>
    </row>
    <row r="16" spans="2:5" x14ac:dyDescent="0.25">
      <c r="B16" s="10">
        <f t="shared" si="1"/>
        <v>13</v>
      </c>
      <c r="C16" s="3" t="str">
        <f t="shared" si="0"/>
        <v>0x0034</v>
      </c>
      <c r="D16" s="3" t="s">
        <v>184</v>
      </c>
      <c r="E16" s="3" t="s">
        <v>15</v>
      </c>
    </row>
    <row r="17" spans="2:5" x14ac:dyDescent="0.25">
      <c r="B17" s="10">
        <f t="shared" si="1"/>
        <v>14</v>
      </c>
      <c r="C17" s="3" t="str">
        <f t="shared" si="0"/>
        <v>0x0038</v>
      </c>
      <c r="D17" s="3" t="s">
        <v>185</v>
      </c>
      <c r="E17" s="3" t="s">
        <v>15</v>
      </c>
    </row>
    <row r="18" spans="2:5" x14ac:dyDescent="0.25">
      <c r="B18" s="10">
        <f t="shared" si="1"/>
        <v>15</v>
      </c>
      <c r="C18" s="3" t="str">
        <f t="shared" si="0"/>
        <v>0x003C</v>
      </c>
      <c r="D18" s="3" t="s">
        <v>186</v>
      </c>
      <c r="E18" s="3" t="s">
        <v>15</v>
      </c>
    </row>
    <row r="19" spans="2:5" x14ac:dyDescent="0.25">
      <c r="B19" s="10">
        <f t="shared" si="1"/>
        <v>16</v>
      </c>
      <c r="C19" s="3" t="str">
        <f t="shared" si="0"/>
        <v>0x0040</v>
      </c>
      <c r="D19" s="3" t="s">
        <v>187</v>
      </c>
      <c r="E19" s="3" t="s">
        <v>15</v>
      </c>
    </row>
    <row r="20" spans="2:5" x14ac:dyDescent="0.25">
      <c r="B20" s="10">
        <f t="shared" si="1"/>
        <v>17</v>
      </c>
      <c r="C20" s="3" t="str">
        <f t="shared" si="0"/>
        <v>0x0044</v>
      </c>
      <c r="D20" s="42" t="s">
        <v>204</v>
      </c>
      <c r="E20" s="3" t="s">
        <v>15</v>
      </c>
    </row>
    <row r="21" spans="2:5" x14ac:dyDescent="0.25">
      <c r="B21" s="10">
        <f t="shared" si="1"/>
        <v>18</v>
      </c>
      <c r="C21" s="3" t="str">
        <f t="shared" si="0"/>
        <v>0x0048</v>
      </c>
      <c r="D21" s="42" t="s">
        <v>202</v>
      </c>
      <c r="E21" s="3" t="s">
        <v>15</v>
      </c>
    </row>
    <row r="22" spans="2:5" x14ac:dyDescent="0.25">
      <c r="B22" s="10">
        <f t="shared" si="1"/>
        <v>19</v>
      </c>
      <c r="C22" s="3" t="str">
        <f t="shared" si="0"/>
        <v>0x004C</v>
      </c>
      <c r="D22" s="42" t="s">
        <v>203</v>
      </c>
      <c r="E22" s="3" t="s">
        <v>14</v>
      </c>
    </row>
    <row r="23" spans="2:5" x14ac:dyDescent="0.25">
      <c r="B23" s="10">
        <f t="shared" si="1"/>
        <v>20</v>
      </c>
      <c r="C23" s="3" t="str">
        <f t="shared" si="0"/>
        <v>0x0050</v>
      </c>
      <c r="D23" s="3" t="s">
        <v>16</v>
      </c>
      <c r="E23" s="3" t="s">
        <v>15</v>
      </c>
    </row>
    <row r="24" spans="2:5" x14ac:dyDescent="0.25">
      <c r="B24" s="10">
        <f t="shared" si="1"/>
        <v>21</v>
      </c>
      <c r="C24" s="3" t="str">
        <f t="shared" si="0"/>
        <v>0x0054</v>
      </c>
      <c r="D24" s="3" t="s">
        <v>16</v>
      </c>
      <c r="E24" s="3" t="s">
        <v>15</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15</v>
      </c>
    </row>
    <row r="27" spans="2:5" x14ac:dyDescent="0.25">
      <c r="B27" s="10">
        <f t="shared" si="1"/>
        <v>24</v>
      </c>
      <c r="C27" s="3" t="str">
        <f t="shared" si="0"/>
        <v>0x0060</v>
      </c>
      <c r="D27" s="3" t="s">
        <v>16</v>
      </c>
      <c r="E27" s="3" t="s">
        <v>15</v>
      </c>
    </row>
    <row r="28" spans="2:5" x14ac:dyDescent="0.25">
      <c r="B28" s="10">
        <f t="shared" si="1"/>
        <v>25</v>
      </c>
      <c r="C28" s="3" t="str">
        <f t="shared" si="0"/>
        <v>0x0064</v>
      </c>
      <c r="D28" s="3" t="s">
        <v>16</v>
      </c>
      <c r="E28" s="3" t="s">
        <v>15</v>
      </c>
    </row>
    <row r="29" spans="2:5" x14ac:dyDescent="0.25">
      <c r="B29" s="10">
        <f t="shared" si="1"/>
        <v>26</v>
      </c>
      <c r="C29" s="3" t="str">
        <f t="shared" si="0"/>
        <v>0x0068</v>
      </c>
      <c r="D29" s="42" t="s">
        <v>201</v>
      </c>
      <c r="E29" s="3" t="s">
        <v>14</v>
      </c>
    </row>
    <row r="30" spans="2:5" x14ac:dyDescent="0.25">
      <c r="B30" s="10">
        <f t="shared" si="1"/>
        <v>27</v>
      </c>
      <c r="C30" s="3" t="str">
        <f t="shared" si="0"/>
        <v>0x006C</v>
      </c>
      <c r="D30" s="3" t="s">
        <v>28</v>
      </c>
      <c r="E30" s="3" t="s">
        <v>14</v>
      </c>
    </row>
    <row r="31" spans="2:5" x14ac:dyDescent="0.25">
      <c r="B31" s="10">
        <f t="shared" si="1"/>
        <v>28</v>
      </c>
      <c r="C31" s="3" t="str">
        <f t="shared" si="0"/>
        <v>0x0070</v>
      </c>
      <c r="D31" s="3" t="s">
        <v>36</v>
      </c>
      <c r="E31" s="3" t="s">
        <v>14</v>
      </c>
    </row>
    <row r="32" spans="2:5" x14ac:dyDescent="0.25">
      <c r="B32" s="10">
        <f t="shared" si="1"/>
        <v>29</v>
      </c>
      <c r="C32" s="3" t="str">
        <f t="shared" si="0"/>
        <v>0x0074</v>
      </c>
      <c r="D32" s="3" t="s">
        <v>101</v>
      </c>
      <c r="E32" s="3" t="s">
        <v>14</v>
      </c>
    </row>
    <row r="33" spans="2:5" x14ac:dyDescent="0.25">
      <c r="B33" s="10">
        <f t="shared" si="1"/>
        <v>30</v>
      </c>
      <c r="C33" s="3" t="str">
        <f t="shared" si="0"/>
        <v>0x0078</v>
      </c>
      <c r="D33" s="3" t="s">
        <v>42</v>
      </c>
      <c r="E33" s="3" t="s">
        <v>14</v>
      </c>
    </row>
    <row r="34" spans="2:5" x14ac:dyDescent="0.25">
      <c r="B34" s="10">
        <f t="shared" si="1"/>
        <v>31</v>
      </c>
      <c r="C34" s="3" t="str">
        <f t="shared" si="0"/>
        <v>0x007C</v>
      </c>
      <c r="D34" s="3" t="s">
        <v>9</v>
      </c>
      <c r="E34" s="3" t="s">
        <v>15</v>
      </c>
    </row>
    <row r="35" spans="2:5" x14ac:dyDescent="0.25">
      <c r="B35" s="49" t="s">
        <v>33</v>
      </c>
      <c r="C35" s="49"/>
      <c r="D35" s="49"/>
      <c r="E35" s="49"/>
    </row>
    <row r="36" spans="2:5" x14ac:dyDescent="0.25">
      <c r="B36" s="10">
        <f>1+B34</f>
        <v>32</v>
      </c>
      <c r="C36" s="3" t="str">
        <f t="shared" ref="C36:C43" si="2">"0x"&amp;DEC2HEX((B36)*4,4)</f>
        <v>0x0080</v>
      </c>
      <c r="D36" s="3" t="str">
        <f xml:space="preserve"> "DCU "&amp;B36-$B$34&amp;" stauts register"</f>
        <v>DCU 1 stauts register</v>
      </c>
      <c r="E36" s="3" t="s">
        <v>14</v>
      </c>
    </row>
    <row r="37" spans="2:5" x14ac:dyDescent="0.25">
      <c r="B37" s="10">
        <f>1+B36</f>
        <v>33</v>
      </c>
      <c r="C37" s="3" t="str">
        <f t="shared" si="2"/>
        <v>0x0084</v>
      </c>
      <c r="D37" s="3" t="str">
        <f xml:space="preserve"> "DCU "&amp;B37-$B$34&amp;" stauts register"</f>
        <v>DCU 2 stauts register</v>
      </c>
      <c r="E37" s="3" t="s">
        <v>14</v>
      </c>
    </row>
    <row r="38" spans="2:5" x14ac:dyDescent="0.25">
      <c r="B38" s="10">
        <f>1+B37</f>
        <v>34</v>
      </c>
      <c r="C38" s="3" t="str">
        <f t="shared" si="2"/>
        <v>0x0088</v>
      </c>
      <c r="D38" s="3" t="str">
        <f t="shared" ref="D38:D101" si="3" xml:space="preserve"> "DCU "&amp;B38-$B$34&amp;" stauts register"</f>
        <v>DCU 3 stauts register</v>
      </c>
      <c r="E38" s="3" t="s">
        <v>14</v>
      </c>
    </row>
    <row r="39" spans="2:5" x14ac:dyDescent="0.25">
      <c r="B39" s="10">
        <f>1+B38</f>
        <v>35</v>
      </c>
      <c r="C39" s="3" t="str">
        <f t="shared" si="2"/>
        <v>0x008C</v>
      </c>
      <c r="D39" s="3" t="str">
        <f t="shared" si="3"/>
        <v>DCU 4 stauts register</v>
      </c>
      <c r="E39" s="3" t="s">
        <v>14</v>
      </c>
    </row>
    <row r="40" spans="2:5" x14ac:dyDescent="0.25">
      <c r="B40" s="10">
        <f t="shared" ref="B40:B103" si="4">1+B39</f>
        <v>36</v>
      </c>
      <c r="C40" s="3" t="str">
        <f t="shared" si="2"/>
        <v>0x0090</v>
      </c>
      <c r="D40" s="3" t="str">
        <f t="shared" si="3"/>
        <v>DCU 5 stauts register</v>
      </c>
      <c r="E40" s="3" t="s">
        <v>14</v>
      </c>
    </row>
    <row r="41" spans="2:5" x14ac:dyDescent="0.25">
      <c r="B41" s="10">
        <f t="shared" si="4"/>
        <v>37</v>
      </c>
      <c r="C41" s="3" t="str">
        <f t="shared" si="2"/>
        <v>0x0094</v>
      </c>
      <c r="D41" s="3" t="str">
        <f t="shared" si="3"/>
        <v>DCU 6 stauts register</v>
      </c>
      <c r="E41" s="3" t="s">
        <v>14</v>
      </c>
    </row>
    <row r="42" spans="2:5" x14ac:dyDescent="0.25">
      <c r="B42" s="10">
        <f t="shared" si="4"/>
        <v>38</v>
      </c>
      <c r="C42" s="3" t="str">
        <f t="shared" si="2"/>
        <v>0x0098</v>
      </c>
      <c r="D42" s="3" t="str">
        <f t="shared" si="3"/>
        <v>DCU 7 stauts register</v>
      </c>
      <c r="E42" s="3" t="s">
        <v>14</v>
      </c>
    </row>
    <row r="43" spans="2:5" x14ac:dyDescent="0.25">
      <c r="B43" s="10">
        <f t="shared" si="4"/>
        <v>39</v>
      </c>
      <c r="C43" s="3" t="str">
        <f t="shared" si="2"/>
        <v>0x009C</v>
      </c>
      <c r="D43" s="3" t="str">
        <f t="shared" si="3"/>
        <v>DCU 8 stauts register</v>
      </c>
      <c r="E43" s="3" t="s">
        <v>14</v>
      </c>
    </row>
    <row r="44" spans="2:5" x14ac:dyDescent="0.25">
      <c r="B44" s="10">
        <f t="shared" si="4"/>
        <v>40</v>
      </c>
      <c r="C44" s="3" t="str">
        <f t="shared" ref="C44:C107" si="5">"0x"&amp;DEC2HEX((B44)*4,4)</f>
        <v>0x00A0</v>
      </c>
      <c r="D44" s="3" t="str">
        <f t="shared" si="3"/>
        <v>DCU 9 stauts register</v>
      </c>
      <c r="E44" s="3" t="s">
        <v>14</v>
      </c>
    </row>
    <row r="45" spans="2:5" x14ac:dyDescent="0.25">
      <c r="B45" s="10">
        <f t="shared" si="4"/>
        <v>41</v>
      </c>
      <c r="C45" s="3" t="str">
        <f t="shared" si="5"/>
        <v>0x00A4</v>
      </c>
      <c r="D45" s="3" t="str">
        <f t="shared" si="3"/>
        <v>DCU 10 stauts register</v>
      </c>
      <c r="E45" s="3" t="s">
        <v>14</v>
      </c>
    </row>
    <row r="46" spans="2:5" x14ac:dyDescent="0.25">
      <c r="B46" s="10">
        <f t="shared" si="4"/>
        <v>42</v>
      </c>
      <c r="C46" s="3" t="str">
        <f t="shared" si="5"/>
        <v>0x00A8</v>
      </c>
      <c r="D46" s="3" t="str">
        <f t="shared" si="3"/>
        <v>DCU 11 stauts register</v>
      </c>
      <c r="E46" s="3" t="s">
        <v>14</v>
      </c>
    </row>
    <row r="47" spans="2:5" x14ac:dyDescent="0.25">
      <c r="B47" s="10">
        <f t="shared" si="4"/>
        <v>43</v>
      </c>
      <c r="C47" s="3" t="str">
        <f t="shared" si="5"/>
        <v>0x00AC</v>
      </c>
      <c r="D47" s="3" t="str">
        <f t="shared" si="3"/>
        <v>DCU 12 stauts register</v>
      </c>
      <c r="E47" s="3" t="s">
        <v>14</v>
      </c>
    </row>
    <row r="48" spans="2:5" x14ac:dyDescent="0.25">
      <c r="B48" s="10">
        <f t="shared" si="4"/>
        <v>44</v>
      </c>
      <c r="C48" s="3" t="str">
        <f t="shared" si="5"/>
        <v>0x00B0</v>
      </c>
      <c r="D48" s="3" t="str">
        <f t="shared" si="3"/>
        <v>DCU 13 stauts register</v>
      </c>
      <c r="E48" s="3" t="s">
        <v>14</v>
      </c>
    </row>
    <row r="49" spans="2:5" x14ac:dyDescent="0.25">
      <c r="B49" s="10">
        <f t="shared" si="4"/>
        <v>45</v>
      </c>
      <c r="C49" s="3" t="str">
        <f t="shared" si="5"/>
        <v>0x00B4</v>
      </c>
      <c r="D49" s="3" t="str">
        <f t="shared" si="3"/>
        <v>DCU 14 stauts register</v>
      </c>
      <c r="E49" s="3" t="s">
        <v>14</v>
      </c>
    </row>
    <row r="50" spans="2:5" x14ac:dyDescent="0.25">
      <c r="B50" s="10">
        <f t="shared" si="4"/>
        <v>46</v>
      </c>
      <c r="C50" s="3" t="str">
        <f t="shared" si="5"/>
        <v>0x00B8</v>
      </c>
      <c r="D50" s="3" t="str">
        <f t="shared" si="3"/>
        <v>DCU 15 stauts register</v>
      </c>
      <c r="E50" s="3" t="s">
        <v>14</v>
      </c>
    </row>
    <row r="51" spans="2:5" x14ac:dyDescent="0.25">
      <c r="B51" s="10">
        <f t="shared" si="4"/>
        <v>47</v>
      </c>
      <c r="C51" s="3" t="str">
        <f t="shared" si="5"/>
        <v>0x00BC</v>
      </c>
      <c r="D51" s="3" t="str">
        <f t="shared" si="3"/>
        <v>DCU 16 stauts register</v>
      </c>
      <c r="E51" s="3" t="s">
        <v>14</v>
      </c>
    </row>
    <row r="52" spans="2:5" x14ac:dyDescent="0.25">
      <c r="B52" s="10">
        <f t="shared" si="4"/>
        <v>48</v>
      </c>
      <c r="C52" s="3" t="str">
        <f t="shared" si="5"/>
        <v>0x00C0</v>
      </c>
      <c r="D52" s="3" t="str">
        <f t="shared" si="3"/>
        <v>DCU 17 stauts register</v>
      </c>
      <c r="E52" s="3" t="s">
        <v>14</v>
      </c>
    </row>
    <row r="53" spans="2:5" x14ac:dyDescent="0.25">
      <c r="B53" s="10">
        <f t="shared" si="4"/>
        <v>49</v>
      </c>
      <c r="C53" s="3" t="str">
        <f t="shared" si="5"/>
        <v>0x00C4</v>
      </c>
      <c r="D53" s="3" t="str">
        <f t="shared" si="3"/>
        <v>DCU 18 stauts register</v>
      </c>
      <c r="E53" s="3" t="s">
        <v>14</v>
      </c>
    </row>
    <row r="54" spans="2:5" x14ac:dyDescent="0.25">
      <c r="B54" s="10">
        <f t="shared" si="4"/>
        <v>50</v>
      </c>
      <c r="C54" s="3" t="str">
        <f t="shared" si="5"/>
        <v>0x00C8</v>
      </c>
      <c r="D54" s="3" t="str">
        <f t="shared" si="3"/>
        <v>DCU 19 stauts register</v>
      </c>
      <c r="E54" s="3" t="s">
        <v>14</v>
      </c>
    </row>
    <row r="55" spans="2:5" x14ac:dyDescent="0.25">
      <c r="B55" s="10">
        <f t="shared" si="4"/>
        <v>51</v>
      </c>
      <c r="C55" s="3" t="str">
        <f t="shared" si="5"/>
        <v>0x00CC</v>
      </c>
      <c r="D55" s="3" t="str">
        <f t="shared" si="3"/>
        <v>DCU 20 stauts register</v>
      </c>
      <c r="E55" s="3" t="s">
        <v>14</v>
      </c>
    </row>
    <row r="56" spans="2:5" x14ac:dyDescent="0.25">
      <c r="B56" s="10">
        <f t="shared" si="4"/>
        <v>52</v>
      </c>
      <c r="C56" s="3" t="str">
        <f t="shared" si="5"/>
        <v>0x00D0</v>
      </c>
      <c r="D56" s="3" t="str">
        <f t="shared" si="3"/>
        <v>DCU 21 stauts register</v>
      </c>
      <c r="E56" s="3" t="s">
        <v>14</v>
      </c>
    </row>
    <row r="57" spans="2:5" x14ac:dyDescent="0.25">
      <c r="B57" s="10">
        <f t="shared" si="4"/>
        <v>53</v>
      </c>
      <c r="C57" s="3" t="str">
        <f t="shared" si="5"/>
        <v>0x00D4</v>
      </c>
      <c r="D57" s="3" t="str">
        <f t="shared" si="3"/>
        <v>DCU 22 stauts register</v>
      </c>
      <c r="E57" s="3" t="s">
        <v>14</v>
      </c>
    </row>
    <row r="58" spans="2:5" x14ac:dyDescent="0.25">
      <c r="B58" s="10">
        <f t="shared" si="4"/>
        <v>54</v>
      </c>
      <c r="C58" s="3" t="str">
        <f t="shared" si="5"/>
        <v>0x00D8</v>
      </c>
      <c r="D58" s="3" t="str">
        <f t="shared" si="3"/>
        <v>DCU 23 stauts register</v>
      </c>
      <c r="E58" s="3" t="s">
        <v>14</v>
      </c>
    </row>
    <row r="59" spans="2:5" x14ac:dyDescent="0.25">
      <c r="B59" s="10">
        <f t="shared" si="4"/>
        <v>55</v>
      </c>
      <c r="C59" s="3" t="str">
        <f t="shared" si="5"/>
        <v>0x00DC</v>
      </c>
      <c r="D59" s="3" t="str">
        <f t="shared" si="3"/>
        <v>DCU 24 stauts register</v>
      </c>
      <c r="E59" s="3" t="s">
        <v>14</v>
      </c>
    </row>
    <row r="60" spans="2:5" x14ac:dyDescent="0.25">
      <c r="B60" s="10">
        <f t="shared" si="4"/>
        <v>56</v>
      </c>
      <c r="C60" s="3" t="str">
        <f t="shared" si="5"/>
        <v>0x00E0</v>
      </c>
      <c r="D60" s="3" t="str">
        <f t="shared" si="3"/>
        <v>DCU 25 stauts register</v>
      </c>
      <c r="E60" s="3" t="s">
        <v>14</v>
      </c>
    </row>
    <row r="61" spans="2:5" x14ac:dyDescent="0.25">
      <c r="B61" s="10">
        <f t="shared" si="4"/>
        <v>57</v>
      </c>
      <c r="C61" s="3" t="str">
        <f t="shared" si="5"/>
        <v>0x00E4</v>
      </c>
      <c r="D61" s="3" t="str">
        <f t="shared" si="3"/>
        <v>DCU 26 stauts register</v>
      </c>
      <c r="E61" s="3" t="s">
        <v>14</v>
      </c>
    </row>
    <row r="62" spans="2:5" x14ac:dyDescent="0.25">
      <c r="B62" s="10">
        <f t="shared" si="4"/>
        <v>58</v>
      </c>
      <c r="C62" s="3" t="str">
        <f t="shared" si="5"/>
        <v>0x00E8</v>
      </c>
      <c r="D62" s="3" t="str">
        <f t="shared" si="3"/>
        <v>DCU 27 stauts register</v>
      </c>
      <c r="E62" s="3" t="s">
        <v>14</v>
      </c>
    </row>
    <row r="63" spans="2:5" x14ac:dyDescent="0.25">
      <c r="B63" s="10">
        <f t="shared" si="4"/>
        <v>59</v>
      </c>
      <c r="C63" s="3" t="str">
        <f t="shared" si="5"/>
        <v>0x00EC</v>
      </c>
      <c r="D63" s="3" t="str">
        <f t="shared" si="3"/>
        <v>DCU 28 stauts register</v>
      </c>
      <c r="E63" s="3" t="s">
        <v>14</v>
      </c>
    </row>
    <row r="64" spans="2:5" x14ac:dyDescent="0.25">
      <c r="B64" s="10">
        <f t="shared" si="4"/>
        <v>60</v>
      </c>
      <c r="C64" s="3" t="str">
        <f t="shared" si="5"/>
        <v>0x00F0</v>
      </c>
      <c r="D64" s="3" t="str">
        <f t="shared" si="3"/>
        <v>DCU 29 stauts register</v>
      </c>
      <c r="E64" s="3" t="s">
        <v>14</v>
      </c>
    </row>
    <row r="65" spans="2:5" x14ac:dyDescent="0.25">
      <c r="B65" s="10">
        <f t="shared" si="4"/>
        <v>61</v>
      </c>
      <c r="C65" s="3" t="str">
        <f t="shared" si="5"/>
        <v>0x00F4</v>
      </c>
      <c r="D65" s="3" t="str">
        <f t="shared" si="3"/>
        <v>DCU 30 stauts register</v>
      </c>
      <c r="E65" s="3" t="s">
        <v>14</v>
      </c>
    </row>
    <row r="66" spans="2:5" x14ac:dyDescent="0.25">
      <c r="B66" s="10">
        <f t="shared" si="4"/>
        <v>62</v>
      </c>
      <c r="C66" s="3" t="str">
        <f t="shared" si="5"/>
        <v>0x00F8</v>
      </c>
      <c r="D66" s="3" t="str">
        <f t="shared" si="3"/>
        <v>DCU 31 stauts register</v>
      </c>
      <c r="E66" s="3" t="s">
        <v>14</v>
      </c>
    </row>
    <row r="67" spans="2:5" x14ac:dyDescent="0.25">
      <c r="B67" s="10">
        <f t="shared" si="4"/>
        <v>63</v>
      </c>
      <c r="C67" s="3" t="str">
        <f t="shared" si="5"/>
        <v>0x00FC</v>
      </c>
      <c r="D67" s="3" t="str">
        <f t="shared" si="3"/>
        <v>DCU 32 stauts register</v>
      </c>
      <c r="E67" s="3" t="s">
        <v>14</v>
      </c>
    </row>
    <row r="68" spans="2:5" x14ac:dyDescent="0.25">
      <c r="B68" s="10">
        <f t="shared" si="4"/>
        <v>64</v>
      </c>
      <c r="C68" s="3" t="str">
        <f t="shared" si="5"/>
        <v>0x0100</v>
      </c>
      <c r="D68" s="3" t="str">
        <f t="shared" si="3"/>
        <v>DCU 33 stauts register</v>
      </c>
      <c r="E68" s="3" t="s">
        <v>14</v>
      </c>
    </row>
    <row r="69" spans="2:5" x14ac:dyDescent="0.25">
      <c r="B69" s="10">
        <f t="shared" si="4"/>
        <v>65</v>
      </c>
      <c r="C69" s="3" t="str">
        <f t="shared" si="5"/>
        <v>0x0104</v>
      </c>
      <c r="D69" s="3" t="str">
        <f t="shared" si="3"/>
        <v>DCU 34 stauts register</v>
      </c>
      <c r="E69" s="3" t="s">
        <v>14</v>
      </c>
    </row>
    <row r="70" spans="2:5" x14ac:dyDescent="0.25">
      <c r="B70" s="10">
        <f t="shared" si="4"/>
        <v>66</v>
      </c>
      <c r="C70" s="3" t="str">
        <f t="shared" si="5"/>
        <v>0x0108</v>
      </c>
      <c r="D70" s="3" t="str">
        <f t="shared" si="3"/>
        <v>DCU 35 stauts register</v>
      </c>
      <c r="E70" s="3" t="s">
        <v>14</v>
      </c>
    </row>
    <row r="71" spans="2:5" x14ac:dyDescent="0.25">
      <c r="B71" s="10">
        <f t="shared" si="4"/>
        <v>67</v>
      </c>
      <c r="C71" s="3" t="str">
        <f t="shared" si="5"/>
        <v>0x010C</v>
      </c>
      <c r="D71" s="3" t="str">
        <f t="shared" si="3"/>
        <v>DCU 36 stauts register</v>
      </c>
      <c r="E71" s="3" t="s">
        <v>14</v>
      </c>
    </row>
    <row r="72" spans="2:5" x14ac:dyDescent="0.25">
      <c r="B72" s="10">
        <f t="shared" si="4"/>
        <v>68</v>
      </c>
      <c r="C72" s="3" t="str">
        <f t="shared" si="5"/>
        <v>0x0110</v>
      </c>
      <c r="D72" s="3" t="str">
        <f t="shared" si="3"/>
        <v>DCU 37 stauts register</v>
      </c>
      <c r="E72" s="3" t="s">
        <v>14</v>
      </c>
    </row>
    <row r="73" spans="2:5" x14ac:dyDescent="0.25">
      <c r="B73" s="10">
        <f t="shared" si="4"/>
        <v>69</v>
      </c>
      <c r="C73" s="3" t="str">
        <f t="shared" si="5"/>
        <v>0x0114</v>
      </c>
      <c r="D73" s="3" t="str">
        <f t="shared" si="3"/>
        <v>DCU 38 stauts register</v>
      </c>
      <c r="E73" s="3" t="s">
        <v>14</v>
      </c>
    </row>
    <row r="74" spans="2:5" x14ac:dyDescent="0.25">
      <c r="B74" s="10">
        <f t="shared" si="4"/>
        <v>70</v>
      </c>
      <c r="C74" s="3" t="str">
        <f t="shared" si="5"/>
        <v>0x0118</v>
      </c>
      <c r="D74" s="3" t="str">
        <f t="shared" si="3"/>
        <v>DCU 39 stauts register</v>
      </c>
      <c r="E74" s="3" t="s">
        <v>14</v>
      </c>
    </row>
    <row r="75" spans="2:5" x14ac:dyDescent="0.25">
      <c r="B75" s="10">
        <f t="shared" si="4"/>
        <v>71</v>
      </c>
      <c r="C75" s="3" t="str">
        <f t="shared" si="5"/>
        <v>0x011C</v>
      </c>
      <c r="D75" s="3" t="str">
        <f t="shared" si="3"/>
        <v>DCU 40 stauts register</v>
      </c>
      <c r="E75" s="3" t="s">
        <v>14</v>
      </c>
    </row>
    <row r="76" spans="2:5" x14ac:dyDescent="0.25">
      <c r="B76" s="10">
        <f t="shared" si="4"/>
        <v>72</v>
      </c>
      <c r="C76" s="3" t="str">
        <f t="shared" si="5"/>
        <v>0x0120</v>
      </c>
      <c r="D76" s="3" t="str">
        <f t="shared" si="3"/>
        <v>DCU 41 stauts register</v>
      </c>
      <c r="E76" s="3" t="s">
        <v>14</v>
      </c>
    </row>
    <row r="77" spans="2:5" x14ac:dyDescent="0.25">
      <c r="B77" s="10">
        <f t="shared" si="4"/>
        <v>73</v>
      </c>
      <c r="C77" s="3" t="str">
        <f t="shared" si="5"/>
        <v>0x0124</v>
      </c>
      <c r="D77" s="3" t="str">
        <f t="shared" si="3"/>
        <v>DCU 42 stauts register</v>
      </c>
      <c r="E77" s="3" t="s">
        <v>14</v>
      </c>
    </row>
    <row r="78" spans="2:5" x14ac:dyDescent="0.25">
      <c r="B78" s="10">
        <f t="shared" si="4"/>
        <v>74</v>
      </c>
      <c r="C78" s="3" t="str">
        <f t="shared" si="5"/>
        <v>0x0128</v>
      </c>
      <c r="D78" s="3" t="str">
        <f t="shared" si="3"/>
        <v>DCU 43 stauts register</v>
      </c>
      <c r="E78" s="3" t="s">
        <v>14</v>
      </c>
    </row>
    <row r="79" spans="2:5" x14ac:dyDescent="0.25">
      <c r="B79" s="10">
        <f t="shared" si="4"/>
        <v>75</v>
      </c>
      <c r="C79" s="3" t="str">
        <f t="shared" si="5"/>
        <v>0x012C</v>
      </c>
      <c r="D79" s="3" t="str">
        <f t="shared" si="3"/>
        <v>DCU 44 stauts register</v>
      </c>
      <c r="E79" s="3" t="s">
        <v>14</v>
      </c>
    </row>
    <row r="80" spans="2:5" x14ac:dyDescent="0.25">
      <c r="B80" s="10">
        <f t="shared" si="4"/>
        <v>76</v>
      </c>
      <c r="C80" s="3" t="str">
        <f t="shared" si="5"/>
        <v>0x0130</v>
      </c>
      <c r="D80" s="3" t="str">
        <f t="shared" si="3"/>
        <v>DCU 45 stauts register</v>
      </c>
      <c r="E80" s="3" t="s">
        <v>14</v>
      </c>
    </row>
    <row r="81" spans="2:5" x14ac:dyDescent="0.25">
      <c r="B81" s="10">
        <f t="shared" si="4"/>
        <v>77</v>
      </c>
      <c r="C81" s="3" t="str">
        <f t="shared" si="5"/>
        <v>0x0134</v>
      </c>
      <c r="D81" s="3" t="str">
        <f t="shared" si="3"/>
        <v>DCU 46 stauts register</v>
      </c>
      <c r="E81" s="3" t="s">
        <v>14</v>
      </c>
    </row>
    <row r="82" spans="2:5" x14ac:dyDescent="0.25">
      <c r="B82" s="10">
        <f t="shared" si="4"/>
        <v>78</v>
      </c>
      <c r="C82" s="3" t="str">
        <f t="shared" si="5"/>
        <v>0x0138</v>
      </c>
      <c r="D82" s="3" t="str">
        <f t="shared" si="3"/>
        <v>DCU 47 stauts register</v>
      </c>
      <c r="E82" s="3" t="s">
        <v>14</v>
      </c>
    </row>
    <row r="83" spans="2:5" x14ac:dyDescent="0.25">
      <c r="B83" s="10">
        <f t="shared" si="4"/>
        <v>79</v>
      </c>
      <c r="C83" s="3" t="str">
        <f t="shared" si="5"/>
        <v>0x013C</v>
      </c>
      <c r="D83" s="3" t="str">
        <f t="shared" si="3"/>
        <v>DCU 48 stauts register</v>
      </c>
      <c r="E83" s="3" t="s">
        <v>14</v>
      </c>
    </row>
    <row r="84" spans="2:5" x14ac:dyDescent="0.25">
      <c r="B84" s="10">
        <f t="shared" si="4"/>
        <v>80</v>
      </c>
      <c r="C84" s="3" t="str">
        <f t="shared" si="5"/>
        <v>0x0140</v>
      </c>
      <c r="D84" s="3" t="str">
        <f t="shared" si="3"/>
        <v>DCU 49 stauts register</v>
      </c>
      <c r="E84" s="3" t="s">
        <v>14</v>
      </c>
    </row>
    <row r="85" spans="2:5" x14ac:dyDescent="0.25">
      <c r="B85" s="10">
        <f t="shared" si="4"/>
        <v>81</v>
      </c>
      <c r="C85" s="3" t="str">
        <f t="shared" si="5"/>
        <v>0x0144</v>
      </c>
      <c r="D85" s="3" t="str">
        <f t="shared" si="3"/>
        <v>DCU 50 stauts register</v>
      </c>
      <c r="E85" s="3" t="s">
        <v>14</v>
      </c>
    </row>
    <row r="86" spans="2:5" x14ac:dyDescent="0.25">
      <c r="B86" s="10">
        <f t="shared" si="4"/>
        <v>82</v>
      </c>
      <c r="C86" s="3" t="str">
        <f t="shared" si="5"/>
        <v>0x0148</v>
      </c>
      <c r="D86" s="3" t="str">
        <f t="shared" si="3"/>
        <v>DCU 51 stauts register</v>
      </c>
      <c r="E86" s="3" t="s">
        <v>14</v>
      </c>
    </row>
    <row r="87" spans="2:5" x14ac:dyDescent="0.25">
      <c r="B87" s="10">
        <f t="shared" si="4"/>
        <v>83</v>
      </c>
      <c r="C87" s="3" t="str">
        <f t="shared" si="5"/>
        <v>0x014C</v>
      </c>
      <c r="D87" s="3" t="str">
        <f t="shared" si="3"/>
        <v>DCU 52 stauts register</v>
      </c>
      <c r="E87" s="3" t="s">
        <v>14</v>
      </c>
    </row>
    <row r="88" spans="2:5" x14ac:dyDescent="0.25">
      <c r="B88" s="10">
        <f t="shared" si="4"/>
        <v>84</v>
      </c>
      <c r="C88" s="3" t="str">
        <f t="shared" si="5"/>
        <v>0x0150</v>
      </c>
      <c r="D88" s="3" t="str">
        <f t="shared" si="3"/>
        <v>DCU 53 stauts register</v>
      </c>
      <c r="E88" s="3" t="s">
        <v>14</v>
      </c>
    </row>
    <row r="89" spans="2:5" x14ac:dyDescent="0.25">
      <c r="B89" s="10">
        <f t="shared" si="4"/>
        <v>85</v>
      </c>
      <c r="C89" s="3" t="str">
        <f t="shared" si="5"/>
        <v>0x0154</v>
      </c>
      <c r="D89" s="3" t="str">
        <f t="shared" si="3"/>
        <v>DCU 54 stauts register</v>
      </c>
      <c r="E89" s="3" t="s">
        <v>14</v>
      </c>
    </row>
    <row r="90" spans="2:5" x14ac:dyDescent="0.25">
      <c r="B90" s="10">
        <f t="shared" si="4"/>
        <v>86</v>
      </c>
      <c r="C90" s="3" t="str">
        <f t="shared" si="5"/>
        <v>0x0158</v>
      </c>
      <c r="D90" s="3" t="str">
        <f t="shared" si="3"/>
        <v>DCU 55 stauts register</v>
      </c>
      <c r="E90" s="3" t="s">
        <v>14</v>
      </c>
    </row>
    <row r="91" spans="2:5" x14ac:dyDescent="0.25">
      <c r="B91" s="10">
        <f t="shared" si="4"/>
        <v>87</v>
      </c>
      <c r="C91" s="3" t="str">
        <f t="shared" si="5"/>
        <v>0x015C</v>
      </c>
      <c r="D91" s="3" t="str">
        <f t="shared" si="3"/>
        <v>DCU 56 stauts register</v>
      </c>
      <c r="E91" s="3" t="s">
        <v>14</v>
      </c>
    </row>
    <row r="92" spans="2:5" x14ac:dyDescent="0.25">
      <c r="B92" s="10">
        <f t="shared" si="4"/>
        <v>88</v>
      </c>
      <c r="C92" s="3" t="str">
        <f t="shared" si="5"/>
        <v>0x0160</v>
      </c>
      <c r="D92" s="3" t="str">
        <f t="shared" si="3"/>
        <v>DCU 57 stauts register</v>
      </c>
      <c r="E92" s="3" t="s">
        <v>14</v>
      </c>
    </row>
    <row r="93" spans="2:5" x14ac:dyDescent="0.25">
      <c r="B93" s="10">
        <f t="shared" si="4"/>
        <v>89</v>
      </c>
      <c r="C93" s="3" t="str">
        <f t="shared" si="5"/>
        <v>0x0164</v>
      </c>
      <c r="D93" s="3" t="str">
        <f t="shared" si="3"/>
        <v>DCU 58 stauts register</v>
      </c>
      <c r="E93" s="3" t="s">
        <v>14</v>
      </c>
    </row>
    <row r="94" spans="2:5" x14ac:dyDescent="0.25">
      <c r="B94" s="10">
        <f t="shared" si="4"/>
        <v>90</v>
      </c>
      <c r="C94" s="3" t="str">
        <f t="shared" si="5"/>
        <v>0x0168</v>
      </c>
      <c r="D94" s="3" t="str">
        <f t="shared" si="3"/>
        <v>DCU 59 stauts register</v>
      </c>
      <c r="E94" s="3" t="s">
        <v>14</v>
      </c>
    </row>
    <row r="95" spans="2:5" x14ac:dyDescent="0.25">
      <c r="B95" s="10">
        <f t="shared" si="4"/>
        <v>91</v>
      </c>
      <c r="C95" s="3" t="str">
        <f t="shared" si="5"/>
        <v>0x016C</v>
      </c>
      <c r="D95" s="3" t="str">
        <f t="shared" si="3"/>
        <v>DCU 60 stauts register</v>
      </c>
      <c r="E95" s="3" t="s">
        <v>14</v>
      </c>
    </row>
    <row r="96" spans="2:5" x14ac:dyDescent="0.25">
      <c r="B96" s="10">
        <f t="shared" si="4"/>
        <v>92</v>
      </c>
      <c r="C96" s="3" t="str">
        <f t="shared" si="5"/>
        <v>0x0170</v>
      </c>
      <c r="D96" s="3" t="str">
        <f t="shared" si="3"/>
        <v>DCU 61 stauts register</v>
      </c>
      <c r="E96" s="3" t="s">
        <v>14</v>
      </c>
    </row>
    <row r="97" spans="2:5" x14ac:dyDescent="0.25">
      <c r="B97" s="10">
        <f t="shared" si="4"/>
        <v>93</v>
      </c>
      <c r="C97" s="3" t="str">
        <f t="shared" si="5"/>
        <v>0x0174</v>
      </c>
      <c r="D97" s="3" t="str">
        <f t="shared" si="3"/>
        <v>DCU 62 stauts register</v>
      </c>
      <c r="E97" s="3" t="s">
        <v>14</v>
      </c>
    </row>
    <row r="98" spans="2:5" x14ac:dyDescent="0.25">
      <c r="B98" s="10">
        <f t="shared" si="4"/>
        <v>94</v>
      </c>
      <c r="C98" s="3" t="str">
        <f t="shared" si="5"/>
        <v>0x0178</v>
      </c>
      <c r="D98" s="3" t="str">
        <f t="shared" si="3"/>
        <v>DCU 63 stauts register</v>
      </c>
      <c r="E98" s="3" t="s">
        <v>14</v>
      </c>
    </row>
    <row r="99" spans="2:5" x14ac:dyDescent="0.25">
      <c r="B99" s="10">
        <f t="shared" si="4"/>
        <v>95</v>
      </c>
      <c r="C99" s="3" t="str">
        <f t="shared" si="5"/>
        <v>0x017C</v>
      </c>
      <c r="D99" s="3" t="str">
        <f t="shared" si="3"/>
        <v>DCU 64 stauts register</v>
      </c>
      <c r="E99" s="3" t="s">
        <v>14</v>
      </c>
    </row>
    <row r="100" spans="2:5" x14ac:dyDescent="0.25">
      <c r="B100" s="10">
        <f t="shared" si="4"/>
        <v>96</v>
      </c>
      <c r="C100" s="3" t="str">
        <f t="shared" si="5"/>
        <v>0x0180</v>
      </c>
      <c r="D100" s="3" t="str">
        <f t="shared" si="3"/>
        <v>DCU 65 stauts register</v>
      </c>
      <c r="E100" s="3" t="s">
        <v>14</v>
      </c>
    </row>
    <row r="101" spans="2:5" x14ac:dyDescent="0.25">
      <c r="B101" s="10">
        <f t="shared" si="4"/>
        <v>97</v>
      </c>
      <c r="C101" s="3" t="str">
        <f t="shared" si="5"/>
        <v>0x0184</v>
      </c>
      <c r="D101" s="3" t="str">
        <f t="shared" si="3"/>
        <v>DCU 66 stauts register</v>
      </c>
      <c r="E101" s="3" t="s">
        <v>14</v>
      </c>
    </row>
    <row r="102" spans="2:5" x14ac:dyDescent="0.25">
      <c r="B102" s="10">
        <f t="shared" si="4"/>
        <v>98</v>
      </c>
      <c r="C102" s="3" t="str">
        <f t="shared" si="5"/>
        <v>0x0188</v>
      </c>
      <c r="D102" s="3" t="str">
        <f t="shared" ref="D102:D165" si="6" xml:space="preserve"> "DCU "&amp;B102-$B$34&amp;" stauts register"</f>
        <v>DCU 67 stauts register</v>
      </c>
      <c r="E102" s="3" t="s">
        <v>14</v>
      </c>
    </row>
    <row r="103" spans="2:5" x14ac:dyDescent="0.25">
      <c r="B103" s="10">
        <f t="shared" si="4"/>
        <v>99</v>
      </c>
      <c r="C103" s="3" t="str">
        <f t="shared" si="5"/>
        <v>0x018C</v>
      </c>
      <c r="D103" s="3" t="str">
        <f t="shared" si="6"/>
        <v>DCU 68 stauts register</v>
      </c>
      <c r="E103" s="3" t="s">
        <v>14</v>
      </c>
    </row>
    <row r="104" spans="2:5" x14ac:dyDescent="0.25">
      <c r="B104" s="10">
        <f t="shared" ref="B104:B167" si="7">1+B103</f>
        <v>100</v>
      </c>
      <c r="C104" s="3" t="str">
        <f t="shared" si="5"/>
        <v>0x0190</v>
      </c>
      <c r="D104" s="3" t="str">
        <f t="shared" si="6"/>
        <v>DCU 69 stauts register</v>
      </c>
      <c r="E104" s="3" t="s">
        <v>14</v>
      </c>
    </row>
    <row r="105" spans="2:5" x14ac:dyDescent="0.25">
      <c r="B105" s="10">
        <f t="shared" si="7"/>
        <v>101</v>
      </c>
      <c r="C105" s="3" t="str">
        <f t="shared" si="5"/>
        <v>0x0194</v>
      </c>
      <c r="D105" s="3" t="str">
        <f t="shared" si="6"/>
        <v>DCU 70 stauts register</v>
      </c>
      <c r="E105" s="3" t="s">
        <v>14</v>
      </c>
    </row>
    <row r="106" spans="2:5" x14ac:dyDescent="0.25">
      <c r="B106" s="10">
        <f t="shared" si="7"/>
        <v>102</v>
      </c>
      <c r="C106" s="3" t="str">
        <f t="shared" si="5"/>
        <v>0x0198</v>
      </c>
      <c r="D106" s="3" t="str">
        <f t="shared" si="6"/>
        <v>DCU 71 stauts register</v>
      </c>
      <c r="E106" s="3" t="s">
        <v>14</v>
      </c>
    </row>
    <row r="107" spans="2:5" x14ac:dyDescent="0.25">
      <c r="B107" s="10">
        <f t="shared" si="7"/>
        <v>103</v>
      </c>
      <c r="C107" s="3" t="str">
        <f t="shared" si="5"/>
        <v>0x019C</v>
      </c>
      <c r="D107" s="3" t="str">
        <f t="shared" si="6"/>
        <v>DCU 72 stauts register</v>
      </c>
      <c r="E107" s="3" t="s">
        <v>14</v>
      </c>
    </row>
    <row r="108" spans="2:5" x14ac:dyDescent="0.25">
      <c r="B108" s="10">
        <f t="shared" si="7"/>
        <v>104</v>
      </c>
      <c r="C108" s="3" t="str">
        <f t="shared" ref="C108:C171" si="8">"0x"&amp;DEC2HEX((B108)*4,4)</f>
        <v>0x01A0</v>
      </c>
      <c r="D108" s="3" t="str">
        <f t="shared" si="6"/>
        <v>DCU 73 stauts register</v>
      </c>
      <c r="E108" s="3" t="s">
        <v>14</v>
      </c>
    </row>
    <row r="109" spans="2:5" x14ac:dyDescent="0.25">
      <c r="B109" s="10">
        <f t="shared" si="7"/>
        <v>105</v>
      </c>
      <c r="C109" s="3" t="str">
        <f t="shared" si="8"/>
        <v>0x01A4</v>
      </c>
      <c r="D109" s="3" t="str">
        <f t="shared" si="6"/>
        <v>DCU 74 stauts register</v>
      </c>
      <c r="E109" s="3" t="s">
        <v>14</v>
      </c>
    </row>
    <row r="110" spans="2:5" x14ac:dyDescent="0.25">
      <c r="B110" s="10">
        <f t="shared" si="7"/>
        <v>106</v>
      </c>
      <c r="C110" s="3" t="str">
        <f t="shared" si="8"/>
        <v>0x01A8</v>
      </c>
      <c r="D110" s="3" t="str">
        <f t="shared" si="6"/>
        <v>DCU 75 stauts register</v>
      </c>
      <c r="E110" s="3" t="s">
        <v>14</v>
      </c>
    </row>
    <row r="111" spans="2:5" x14ac:dyDescent="0.25">
      <c r="B111" s="10">
        <f t="shared" si="7"/>
        <v>107</v>
      </c>
      <c r="C111" s="3" t="str">
        <f t="shared" si="8"/>
        <v>0x01AC</v>
      </c>
      <c r="D111" s="3" t="str">
        <f t="shared" si="6"/>
        <v>DCU 76 stauts register</v>
      </c>
      <c r="E111" s="3" t="s">
        <v>14</v>
      </c>
    </row>
    <row r="112" spans="2:5" x14ac:dyDescent="0.25">
      <c r="B112" s="10">
        <f t="shared" si="7"/>
        <v>108</v>
      </c>
      <c r="C112" s="3" t="str">
        <f t="shared" si="8"/>
        <v>0x01B0</v>
      </c>
      <c r="D112" s="3" t="str">
        <f t="shared" si="6"/>
        <v>DCU 77 stauts register</v>
      </c>
      <c r="E112" s="3" t="s">
        <v>14</v>
      </c>
    </row>
    <row r="113" spans="2:5" x14ac:dyDescent="0.25">
      <c r="B113" s="10">
        <f t="shared" si="7"/>
        <v>109</v>
      </c>
      <c r="C113" s="3" t="str">
        <f t="shared" si="8"/>
        <v>0x01B4</v>
      </c>
      <c r="D113" s="3" t="str">
        <f t="shared" si="6"/>
        <v>DCU 78 stauts register</v>
      </c>
      <c r="E113" s="3" t="s">
        <v>14</v>
      </c>
    </row>
    <row r="114" spans="2:5" x14ac:dyDescent="0.25">
      <c r="B114" s="10">
        <f t="shared" si="7"/>
        <v>110</v>
      </c>
      <c r="C114" s="3" t="str">
        <f t="shared" si="8"/>
        <v>0x01B8</v>
      </c>
      <c r="D114" s="3" t="str">
        <f t="shared" si="6"/>
        <v>DCU 79 stauts register</v>
      </c>
      <c r="E114" s="3" t="s">
        <v>14</v>
      </c>
    </row>
    <row r="115" spans="2:5" x14ac:dyDescent="0.25">
      <c r="B115" s="10">
        <f t="shared" si="7"/>
        <v>111</v>
      </c>
      <c r="C115" s="3" t="str">
        <f t="shared" si="8"/>
        <v>0x01BC</v>
      </c>
      <c r="D115" s="3" t="str">
        <f t="shared" si="6"/>
        <v>DCU 80 stauts register</v>
      </c>
      <c r="E115" s="3" t="s">
        <v>14</v>
      </c>
    </row>
    <row r="116" spans="2:5" x14ac:dyDescent="0.25">
      <c r="B116" s="10">
        <f t="shared" si="7"/>
        <v>112</v>
      </c>
      <c r="C116" s="3" t="str">
        <f t="shared" si="8"/>
        <v>0x01C0</v>
      </c>
      <c r="D116" s="3" t="str">
        <f t="shared" si="6"/>
        <v>DCU 81 stauts register</v>
      </c>
      <c r="E116" s="3" t="s">
        <v>14</v>
      </c>
    </row>
    <row r="117" spans="2:5" x14ac:dyDescent="0.25">
      <c r="B117" s="10">
        <f t="shared" si="7"/>
        <v>113</v>
      </c>
      <c r="C117" s="3" t="str">
        <f t="shared" si="8"/>
        <v>0x01C4</v>
      </c>
      <c r="D117" s="3" t="str">
        <f t="shared" si="6"/>
        <v>DCU 82 stauts register</v>
      </c>
      <c r="E117" s="3" t="s">
        <v>14</v>
      </c>
    </row>
    <row r="118" spans="2:5" x14ac:dyDescent="0.25">
      <c r="B118" s="10">
        <f t="shared" si="7"/>
        <v>114</v>
      </c>
      <c r="C118" s="3" t="str">
        <f t="shared" si="8"/>
        <v>0x01C8</v>
      </c>
      <c r="D118" s="3" t="str">
        <f t="shared" si="6"/>
        <v>DCU 83 stauts register</v>
      </c>
      <c r="E118" s="3" t="s">
        <v>14</v>
      </c>
    </row>
    <row r="119" spans="2:5" x14ac:dyDescent="0.25">
      <c r="B119" s="10">
        <f t="shared" si="7"/>
        <v>115</v>
      </c>
      <c r="C119" s="3" t="str">
        <f t="shared" si="8"/>
        <v>0x01CC</v>
      </c>
      <c r="D119" s="3" t="str">
        <f t="shared" si="6"/>
        <v>DCU 84 stauts register</v>
      </c>
      <c r="E119" s="3" t="s">
        <v>14</v>
      </c>
    </row>
    <row r="120" spans="2:5" x14ac:dyDescent="0.25">
      <c r="B120" s="10">
        <f t="shared" si="7"/>
        <v>116</v>
      </c>
      <c r="C120" s="3" t="str">
        <f t="shared" si="8"/>
        <v>0x01D0</v>
      </c>
      <c r="D120" s="3" t="str">
        <f t="shared" si="6"/>
        <v>DCU 85 stauts register</v>
      </c>
      <c r="E120" s="3" t="s">
        <v>14</v>
      </c>
    </row>
    <row r="121" spans="2:5" x14ac:dyDescent="0.25">
      <c r="B121" s="10">
        <f t="shared" si="7"/>
        <v>117</v>
      </c>
      <c r="C121" s="3" t="str">
        <f t="shared" si="8"/>
        <v>0x01D4</v>
      </c>
      <c r="D121" s="3" t="str">
        <f t="shared" si="6"/>
        <v>DCU 86 stauts register</v>
      </c>
      <c r="E121" s="3" t="s">
        <v>14</v>
      </c>
    </row>
    <row r="122" spans="2:5" x14ac:dyDescent="0.25">
      <c r="B122" s="10">
        <f t="shared" si="7"/>
        <v>118</v>
      </c>
      <c r="C122" s="3" t="str">
        <f t="shared" si="8"/>
        <v>0x01D8</v>
      </c>
      <c r="D122" s="3" t="str">
        <f t="shared" si="6"/>
        <v>DCU 87 stauts register</v>
      </c>
      <c r="E122" s="3" t="s">
        <v>14</v>
      </c>
    </row>
    <row r="123" spans="2:5" x14ac:dyDescent="0.25">
      <c r="B123" s="10">
        <f t="shared" si="7"/>
        <v>119</v>
      </c>
      <c r="C123" s="3" t="str">
        <f t="shared" si="8"/>
        <v>0x01DC</v>
      </c>
      <c r="D123" s="3" t="str">
        <f t="shared" si="6"/>
        <v>DCU 88 stauts register</v>
      </c>
      <c r="E123" s="3" t="s">
        <v>14</v>
      </c>
    </row>
    <row r="124" spans="2:5" x14ac:dyDescent="0.25">
      <c r="B124" s="10">
        <f t="shared" si="7"/>
        <v>120</v>
      </c>
      <c r="C124" s="3" t="str">
        <f t="shared" si="8"/>
        <v>0x01E0</v>
      </c>
      <c r="D124" s="3" t="str">
        <f t="shared" si="6"/>
        <v>DCU 89 stauts register</v>
      </c>
      <c r="E124" s="3" t="s">
        <v>14</v>
      </c>
    </row>
    <row r="125" spans="2:5" x14ac:dyDescent="0.25">
      <c r="B125" s="10">
        <f t="shared" si="7"/>
        <v>121</v>
      </c>
      <c r="C125" s="3" t="str">
        <f t="shared" si="8"/>
        <v>0x01E4</v>
      </c>
      <c r="D125" s="3" t="str">
        <f t="shared" si="6"/>
        <v>DCU 90 stauts register</v>
      </c>
      <c r="E125" s="3" t="s">
        <v>14</v>
      </c>
    </row>
    <row r="126" spans="2:5" x14ac:dyDescent="0.25">
      <c r="B126" s="10">
        <f t="shared" si="7"/>
        <v>122</v>
      </c>
      <c r="C126" s="3" t="str">
        <f t="shared" si="8"/>
        <v>0x01E8</v>
      </c>
      <c r="D126" s="3" t="str">
        <f t="shared" si="6"/>
        <v>DCU 91 stauts register</v>
      </c>
      <c r="E126" s="3" t="s">
        <v>14</v>
      </c>
    </row>
    <row r="127" spans="2:5" x14ac:dyDescent="0.25">
      <c r="B127" s="10">
        <f t="shared" si="7"/>
        <v>123</v>
      </c>
      <c r="C127" s="3" t="str">
        <f t="shared" si="8"/>
        <v>0x01EC</v>
      </c>
      <c r="D127" s="3" t="str">
        <f t="shared" si="6"/>
        <v>DCU 92 stauts register</v>
      </c>
      <c r="E127" s="3" t="s">
        <v>14</v>
      </c>
    </row>
    <row r="128" spans="2:5" x14ac:dyDescent="0.25">
      <c r="B128" s="10">
        <f t="shared" si="7"/>
        <v>124</v>
      </c>
      <c r="C128" s="3" t="str">
        <f t="shared" si="8"/>
        <v>0x01F0</v>
      </c>
      <c r="D128" s="3" t="str">
        <f t="shared" si="6"/>
        <v>DCU 93 stauts register</v>
      </c>
      <c r="E128" s="3" t="s">
        <v>14</v>
      </c>
    </row>
    <row r="129" spans="2:5" x14ac:dyDescent="0.25">
      <c r="B129" s="10">
        <f t="shared" si="7"/>
        <v>125</v>
      </c>
      <c r="C129" s="3" t="str">
        <f t="shared" si="8"/>
        <v>0x01F4</v>
      </c>
      <c r="D129" s="3" t="str">
        <f t="shared" si="6"/>
        <v>DCU 94 stauts register</v>
      </c>
      <c r="E129" s="3" t="s">
        <v>14</v>
      </c>
    </row>
    <row r="130" spans="2:5" x14ac:dyDescent="0.25">
      <c r="B130" s="10">
        <f t="shared" si="7"/>
        <v>126</v>
      </c>
      <c r="C130" s="3" t="str">
        <f t="shared" si="8"/>
        <v>0x01F8</v>
      </c>
      <c r="D130" s="3" t="str">
        <f t="shared" si="6"/>
        <v>DCU 95 stauts register</v>
      </c>
      <c r="E130" s="3" t="s">
        <v>14</v>
      </c>
    </row>
    <row r="131" spans="2:5" x14ac:dyDescent="0.25">
      <c r="B131" s="10">
        <f t="shared" si="7"/>
        <v>127</v>
      </c>
      <c r="C131" s="3" t="str">
        <f t="shared" si="8"/>
        <v>0x01FC</v>
      </c>
      <c r="D131" s="3" t="str">
        <f t="shared" si="6"/>
        <v>DCU 96 stauts register</v>
      </c>
      <c r="E131" s="3" t="s">
        <v>14</v>
      </c>
    </row>
    <row r="132" spans="2:5" x14ac:dyDescent="0.25">
      <c r="B132" s="10">
        <f t="shared" si="7"/>
        <v>128</v>
      </c>
      <c r="C132" s="3" t="str">
        <f t="shared" si="8"/>
        <v>0x0200</v>
      </c>
      <c r="D132" s="3" t="str">
        <f t="shared" si="6"/>
        <v>DCU 97 stauts register</v>
      </c>
      <c r="E132" s="3" t="s">
        <v>14</v>
      </c>
    </row>
    <row r="133" spans="2:5" x14ac:dyDescent="0.25">
      <c r="B133" s="10">
        <f t="shared" si="7"/>
        <v>129</v>
      </c>
      <c r="C133" s="3" t="str">
        <f t="shared" si="8"/>
        <v>0x0204</v>
      </c>
      <c r="D133" s="3" t="str">
        <f t="shared" si="6"/>
        <v>DCU 98 stauts register</v>
      </c>
      <c r="E133" s="3" t="s">
        <v>14</v>
      </c>
    </row>
    <row r="134" spans="2:5" x14ac:dyDescent="0.25">
      <c r="B134" s="10">
        <f t="shared" si="7"/>
        <v>130</v>
      </c>
      <c r="C134" s="3" t="str">
        <f t="shared" si="8"/>
        <v>0x0208</v>
      </c>
      <c r="D134" s="3" t="str">
        <f t="shared" si="6"/>
        <v>DCU 99 stauts register</v>
      </c>
      <c r="E134" s="3" t="s">
        <v>14</v>
      </c>
    </row>
    <row r="135" spans="2:5" x14ac:dyDescent="0.25">
      <c r="B135" s="10">
        <f t="shared" si="7"/>
        <v>131</v>
      </c>
      <c r="C135" s="3" t="str">
        <f t="shared" si="8"/>
        <v>0x020C</v>
      </c>
      <c r="D135" s="3" t="str">
        <f t="shared" si="6"/>
        <v>DCU 100 stauts register</v>
      </c>
      <c r="E135" s="3" t="s">
        <v>14</v>
      </c>
    </row>
    <row r="136" spans="2:5" x14ac:dyDescent="0.25">
      <c r="B136" s="10">
        <f t="shared" si="7"/>
        <v>132</v>
      </c>
      <c r="C136" s="3" t="str">
        <f t="shared" si="8"/>
        <v>0x0210</v>
      </c>
      <c r="D136" s="3" t="str">
        <f t="shared" si="6"/>
        <v>DCU 101 stauts register</v>
      </c>
      <c r="E136" s="3" t="s">
        <v>14</v>
      </c>
    </row>
    <row r="137" spans="2:5" x14ac:dyDescent="0.25">
      <c r="B137" s="10">
        <f t="shared" si="7"/>
        <v>133</v>
      </c>
      <c r="C137" s="3" t="str">
        <f t="shared" si="8"/>
        <v>0x0214</v>
      </c>
      <c r="D137" s="3" t="str">
        <f t="shared" si="6"/>
        <v>DCU 102 stauts register</v>
      </c>
      <c r="E137" s="3" t="s">
        <v>14</v>
      </c>
    </row>
    <row r="138" spans="2:5" x14ac:dyDescent="0.25">
      <c r="B138" s="10">
        <f t="shared" si="7"/>
        <v>134</v>
      </c>
      <c r="C138" s="3" t="str">
        <f t="shared" si="8"/>
        <v>0x0218</v>
      </c>
      <c r="D138" s="3" t="str">
        <f t="shared" si="6"/>
        <v>DCU 103 stauts register</v>
      </c>
      <c r="E138" s="3" t="s">
        <v>14</v>
      </c>
    </row>
    <row r="139" spans="2:5" x14ac:dyDescent="0.25">
      <c r="B139" s="10">
        <f t="shared" si="7"/>
        <v>135</v>
      </c>
      <c r="C139" s="3" t="str">
        <f t="shared" si="8"/>
        <v>0x021C</v>
      </c>
      <c r="D139" s="3" t="str">
        <f t="shared" si="6"/>
        <v>DCU 104 stauts register</v>
      </c>
      <c r="E139" s="3" t="s">
        <v>14</v>
      </c>
    </row>
    <row r="140" spans="2:5" x14ac:dyDescent="0.25">
      <c r="B140" s="10">
        <f t="shared" si="7"/>
        <v>136</v>
      </c>
      <c r="C140" s="3" t="str">
        <f t="shared" si="8"/>
        <v>0x0220</v>
      </c>
      <c r="D140" s="3" t="str">
        <f t="shared" si="6"/>
        <v>DCU 105 stauts register</v>
      </c>
      <c r="E140" s="3" t="s">
        <v>14</v>
      </c>
    </row>
    <row r="141" spans="2:5" x14ac:dyDescent="0.25">
      <c r="B141" s="10">
        <f t="shared" si="7"/>
        <v>137</v>
      </c>
      <c r="C141" s="3" t="str">
        <f t="shared" si="8"/>
        <v>0x0224</v>
      </c>
      <c r="D141" s="3" t="str">
        <f t="shared" si="6"/>
        <v>DCU 106 stauts register</v>
      </c>
      <c r="E141" s="3" t="s">
        <v>14</v>
      </c>
    </row>
    <row r="142" spans="2:5" x14ac:dyDescent="0.25">
      <c r="B142" s="10">
        <f t="shared" si="7"/>
        <v>138</v>
      </c>
      <c r="C142" s="3" t="str">
        <f t="shared" si="8"/>
        <v>0x0228</v>
      </c>
      <c r="D142" s="3" t="str">
        <f t="shared" si="6"/>
        <v>DCU 107 stauts register</v>
      </c>
      <c r="E142" s="3" t="s">
        <v>14</v>
      </c>
    </row>
    <row r="143" spans="2:5" x14ac:dyDescent="0.25">
      <c r="B143" s="10">
        <f t="shared" si="7"/>
        <v>139</v>
      </c>
      <c r="C143" s="3" t="str">
        <f t="shared" si="8"/>
        <v>0x022C</v>
      </c>
      <c r="D143" s="3" t="str">
        <f t="shared" si="6"/>
        <v>DCU 108 stauts register</v>
      </c>
      <c r="E143" s="3" t="s">
        <v>14</v>
      </c>
    </row>
    <row r="144" spans="2:5" x14ac:dyDescent="0.25">
      <c r="B144" s="10">
        <f t="shared" si="7"/>
        <v>140</v>
      </c>
      <c r="C144" s="3" t="str">
        <f t="shared" si="8"/>
        <v>0x0230</v>
      </c>
      <c r="D144" s="3" t="str">
        <f t="shared" si="6"/>
        <v>DCU 109 stauts register</v>
      </c>
      <c r="E144" s="3" t="s">
        <v>14</v>
      </c>
    </row>
    <row r="145" spans="2:5" x14ac:dyDescent="0.25">
      <c r="B145" s="10">
        <f t="shared" si="7"/>
        <v>141</v>
      </c>
      <c r="C145" s="3" t="str">
        <f t="shared" si="8"/>
        <v>0x0234</v>
      </c>
      <c r="D145" s="3" t="str">
        <f t="shared" si="6"/>
        <v>DCU 110 stauts register</v>
      </c>
      <c r="E145" s="3" t="s">
        <v>14</v>
      </c>
    </row>
    <row r="146" spans="2:5" x14ac:dyDescent="0.25">
      <c r="B146" s="10">
        <f t="shared" si="7"/>
        <v>142</v>
      </c>
      <c r="C146" s="3" t="str">
        <f t="shared" si="8"/>
        <v>0x0238</v>
      </c>
      <c r="D146" s="3" t="str">
        <f t="shared" si="6"/>
        <v>DCU 111 stauts register</v>
      </c>
      <c r="E146" s="3" t="s">
        <v>14</v>
      </c>
    </row>
    <row r="147" spans="2:5" x14ac:dyDescent="0.25">
      <c r="B147" s="10">
        <f t="shared" si="7"/>
        <v>143</v>
      </c>
      <c r="C147" s="3" t="str">
        <f t="shared" si="8"/>
        <v>0x023C</v>
      </c>
      <c r="D147" s="3" t="str">
        <f t="shared" si="6"/>
        <v>DCU 112 stauts register</v>
      </c>
      <c r="E147" s="3" t="s">
        <v>14</v>
      </c>
    </row>
    <row r="148" spans="2:5" x14ac:dyDescent="0.25">
      <c r="B148" s="10">
        <f t="shared" si="7"/>
        <v>144</v>
      </c>
      <c r="C148" s="3" t="str">
        <f t="shared" si="8"/>
        <v>0x0240</v>
      </c>
      <c r="D148" s="3" t="str">
        <f t="shared" si="6"/>
        <v>DCU 113 stauts register</v>
      </c>
      <c r="E148" s="3" t="s">
        <v>14</v>
      </c>
    </row>
    <row r="149" spans="2:5" x14ac:dyDescent="0.25">
      <c r="B149" s="10">
        <f t="shared" si="7"/>
        <v>145</v>
      </c>
      <c r="C149" s="3" t="str">
        <f t="shared" si="8"/>
        <v>0x0244</v>
      </c>
      <c r="D149" s="3" t="str">
        <f t="shared" si="6"/>
        <v>DCU 114 stauts register</v>
      </c>
      <c r="E149" s="3" t="s">
        <v>14</v>
      </c>
    </row>
    <row r="150" spans="2:5" x14ac:dyDescent="0.25">
      <c r="B150" s="10">
        <f t="shared" si="7"/>
        <v>146</v>
      </c>
      <c r="C150" s="3" t="str">
        <f t="shared" si="8"/>
        <v>0x0248</v>
      </c>
      <c r="D150" s="3" t="str">
        <f t="shared" si="6"/>
        <v>DCU 115 stauts register</v>
      </c>
      <c r="E150" s="3" t="s">
        <v>14</v>
      </c>
    </row>
    <row r="151" spans="2:5" x14ac:dyDescent="0.25">
      <c r="B151" s="10">
        <f t="shared" si="7"/>
        <v>147</v>
      </c>
      <c r="C151" s="3" t="str">
        <f t="shared" si="8"/>
        <v>0x024C</v>
      </c>
      <c r="D151" s="3" t="str">
        <f t="shared" si="6"/>
        <v>DCU 116 stauts register</v>
      </c>
      <c r="E151" s="3" t="s">
        <v>14</v>
      </c>
    </row>
    <row r="152" spans="2:5" x14ac:dyDescent="0.25">
      <c r="B152" s="10">
        <f t="shared" si="7"/>
        <v>148</v>
      </c>
      <c r="C152" s="3" t="str">
        <f t="shared" si="8"/>
        <v>0x0250</v>
      </c>
      <c r="D152" s="3" t="str">
        <f t="shared" si="6"/>
        <v>DCU 117 stauts register</v>
      </c>
      <c r="E152" s="3" t="s">
        <v>14</v>
      </c>
    </row>
    <row r="153" spans="2:5" x14ac:dyDescent="0.25">
      <c r="B153" s="10">
        <f t="shared" si="7"/>
        <v>149</v>
      </c>
      <c r="C153" s="3" t="str">
        <f t="shared" si="8"/>
        <v>0x0254</v>
      </c>
      <c r="D153" s="3" t="str">
        <f t="shared" si="6"/>
        <v>DCU 118 stauts register</v>
      </c>
      <c r="E153" s="3" t="s">
        <v>14</v>
      </c>
    </row>
    <row r="154" spans="2:5" x14ac:dyDescent="0.25">
      <c r="B154" s="10">
        <f t="shared" si="7"/>
        <v>150</v>
      </c>
      <c r="C154" s="3" t="str">
        <f t="shared" si="8"/>
        <v>0x0258</v>
      </c>
      <c r="D154" s="3" t="str">
        <f t="shared" si="6"/>
        <v>DCU 119 stauts register</v>
      </c>
      <c r="E154" s="3" t="s">
        <v>14</v>
      </c>
    </row>
    <row r="155" spans="2:5" x14ac:dyDescent="0.25">
      <c r="B155" s="10">
        <f t="shared" si="7"/>
        <v>151</v>
      </c>
      <c r="C155" s="3" t="str">
        <f t="shared" si="8"/>
        <v>0x025C</v>
      </c>
      <c r="D155" s="3" t="str">
        <f t="shared" si="6"/>
        <v>DCU 120 stauts register</v>
      </c>
      <c r="E155" s="3" t="s">
        <v>14</v>
      </c>
    </row>
    <row r="156" spans="2:5" x14ac:dyDescent="0.25">
      <c r="B156" s="10">
        <f t="shared" si="7"/>
        <v>152</v>
      </c>
      <c r="C156" s="3" t="str">
        <f t="shared" si="8"/>
        <v>0x0260</v>
      </c>
      <c r="D156" s="3" t="str">
        <f t="shared" si="6"/>
        <v>DCU 121 stauts register</v>
      </c>
      <c r="E156" s="3" t="s">
        <v>14</v>
      </c>
    </row>
    <row r="157" spans="2:5" x14ac:dyDescent="0.25">
      <c r="B157" s="10">
        <f t="shared" si="7"/>
        <v>153</v>
      </c>
      <c r="C157" s="3" t="str">
        <f t="shared" si="8"/>
        <v>0x0264</v>
      </c>
      <c r="D157" s="3" t="str">
        <f t="shared" si="6"/>
        <v>DCU 122 stauts register</v>
      </c>
      <c r="E157" s="3" t="s">
        <v>14</v>
      </c>
    </row>
    <row r="158" spans="2:5" x14ac:dyDescent="0.25">
      <c r="B158" s="10">
        <f t="shared" si="7"/>
        <v>154</v>
      </c>
      <c r="C158" s="3" t="str">
        <f t="shared" si="8"/>
        <v>0x0268</v>
      </c>
      <c r="D158" s="3" t="str">
        <f t="shared" si="6"/>
        <v>DCU 123 stauts register</v>
      </c>
      <c r="E158" s="3" t="s">
        <v>14</v>
      </c>
    </row>
    <row r="159" spans="2:5" x14ac:dyDescent="0.25">
      <c r="B159" s="10">
        <f t="shared" si="7"/>
        <v>155</v>
      </c>
      <c r="C159" s="3" t="str">
        <f t="shared" si="8"/>
        <v>0x026C</v>
      </c>
      <c r="D159" s="3" t="str">
        <f t="shared" si="6"/>
        <v>DCU 124 stauts register</v>
      </c>
      <c r="E159" s="3" t="s">
        <v>14</v>
      </c>
    </row>
    <row r="160" spans="2:5" x14ac:dyDescent="0.25">
      <c r="B160" s="10">
        <f t="shared" si="7"/>
        <v>156</v>
      </c>
      <c r="C160" s="3" t="str">
        <f t="shared" si="8"/>
        <v>0x0270</v>
      </c>
      <c r="D160" s="3" t="str">
        <f t="shared" si="6"/>
        <v>DCU 125 stauts register</v>
      </c>
      <c r="E160" s="3" t="s">
        <v>14</v>
      </c>
    </row>
    <row r="161" spans="2:5" x14ac:dyDescent="0.25">
      <c r="B161" s="10">
        <f t="shared" si="7"/>
        <v>157</v>
      </c>
      <c r="C161" s="3" t="str">
        <f t="shared" si="8"/>
        <v>0x0274</v>
      </c>
      <c r="D161" s="3" t="str">
        <f t="shared" si="6"/>
        <v>DCU 126 stauts register</v>
      </c>
      <c r="E161" s="3" t="s">
        <v>14</v>
      </c>
    </row>
    <row r="162" spans="2:5" x14ac:dyDescent="0.25">
      <c r="B162" s="10">
        <f t="shared" si="7"/>
        <v>158</v>
      </c>
      <c r="C162" s="3" t="str">
        <f t="shared" si="8"/>
        <v>0x0278</v>
      </c>
      <c r="D162" s="3" t="str">
        <f t="shared" si="6"/>
        <v>DCU 127 stauts register</v>
      </c>
      <c r="E162" s="3" t="s">
        <v>14</v>
      </c>
    </row>
    <row r="163" spans="2:5" x14ac:dyDescent="0.25">
      <c r="B163" s="10">
        <f t="shared" si="7"/>
        <v>159</v>
      </c>
      <c r="C163" s="3" t="str">
        <f t="shared" si="8"/>
        <v>0x027C</v>
      </c>
      <c r="D163" s="3" t="str">
        <f t="shared" si="6"/>
        <v>DCU 128 stauts register</v>
      </c>
      <c r="E163" s="3" t="s">
        <v>14</v>
      </c>
    </row>
    <row r="164" spans="2:5" x14ac:dyDescent="0.25">
      <c r="B164" s="10">
        <f t="shared" si="7"/>
        <v>160</v>
      </c>
      <c r="C164" s="3" t="str">
        <f t="shared" si="8"/>
        <v>0x0280</v>
      </c>
      <c r="D164" s="3" t="str">
        <f t="shared" si="6"/>
        <v>DCU 129 stauts register</v>
      </c>
      <c r="E164" s="3" t="s">
        <v>14</v>
      </c>
    </row>
    <row r="165" spans="2:5" x14ac:dyDescent="0.25">
      <c r="B165" s="10">
        <f t="shared" si="7"/>
        <v>161</v>
      </c>
      <c r="C165" s="3" t="str">
        <f t="shared" si="8"/>
        <v>0x0284</v>
      </c>
      <c r="D165" s="3" t="str">
        <f t="shared" si="6"/>
        <v>DCU 130 stauts register</v>
      </c>
      <c r="E165" s="3" t="s">
        <v>14</v>
      </c>
    </row>
    <row r="166" spans="2:5" x14ac:dyDescent="0.25">
      <c r="B166" s="10">
        <f t="shared" si="7"/>
        <v>162</v>
      </c>
      <c r="C166" s="3" t="str">
        <f t="shared" si="8"/>
        <v>0x0288</v>
      </c>
      <c r="D166" s="3" t="str">
        <f t="shared" ref="D166:D187" si="9" xml:space="preserve"> "DCU "&amp;B166-$B$34&amp;" stauts register"</f>
        <v>DCU 131 stauts register</v>
      </c>
      <c r="E166" s="3" t="s">
        <v>14</v>
      </c>
    </row>
    <row r="167" spans="2:5" x14ac:dyDescent="0.25">
      <c r="B167" s="10">
        <f t="shared" si="7"/>
        <v>163</v>
      </c>
      <c r="C167" s="3" t="str">
        <f t="shared" si="8"/>
        <v>0x028C</v>
      </c>
      <c r="D167" s="3" t="str">
        <f t="shared" si="9"/>
        <v>DCU 132 stauts register</v>
      </c>
      <c r="E167" s="3" t="s">
        <v>14</v>
      </c>
    </row>
    <row r="168" spans="2:5" x14ac:dyDescent="0.25">
      <c r="B168" s="10">
        <f t="shared" ref="B168:B187" si="10">1+B167</f>
        <v>164</v>
      </c>
      <c r="C168" s="3" t="str">
        <f t="shared" si="8"/>
        <v>0x0290</v>
      </c>
      <c r="D168" s="3" t="str">
        <f t="shared" si="9"/>
        <v>DCU 133 stauts register</v>
      </c>
      <c r="E168" s="3" t="s">
        <v>14</v>
      </c>
    </row>
    <row r="169" spans="2:5" x14ac:dyDescent="0.25">
      <c r="B169" s="10">
        <f t="shared" si="10"/>
        <v>165</v>
      </c>
      <c r="C169" s="3" t="str">
        <f t="shared" si="8"/>
        <v>0x0294</v>
      </c>
      <c r="D169" s="3" t="str">
        <f t="shared" si="9"/>
        <v>DCU 134 stauts register</v>
      </c>
      <c r="E169" s="3" t="s">
        <v>14</v>
      </c>
    </row>
    <row r="170" spans="2:5" x14ac:dyDescent="0.25">
      <c r="B170" s="10">
        <f t="shared" si="10"/>
        <v>166</v>
      </c>
      <c r="C170" s="3" t="str">
        <f t="shared" si="8"/>
        <v>0x0298</v>
      </c>
      <c r="D170" s="3" t="str">
        <f t="shared" si="9"/>
        <v>DCU 135 stauts register</v>
      </c>
      <c r="E170" s="3" t="s">
        <v>14</v>
      </c>
    </row>
    <row r="171" spans="2:5" x14ac:dyDescent="0.25">
      <c r="B171" s="10">
        <f t="shared" si="10"/>
        <v>167</v>
      </c>
      <c r="C171" s="3" t="str">
        <f t="shared" si="8"/>
        <v>0x029C</v>
      </c>
      <c r="D171" s="3" t="str">
        <f t="shared" si="9"/>
        <v>DCU 136 stauts register</v>
      </c>
      <c r="E171" s="3" t="s">
        <v>14</v>
      </c>
    </row>
    <row r="172" spans="2:5" x14ac:dyDescent="0.25">
      <c r="B172" s="10">
        <f t="shared" si="10"/>
        <v>168</v>
      </c>
      <c r="C172" s="3" t="str">
        <f t="shared" ref="C172:C187" si="11">"0x"&amp;DEC2HEX((B172)*4,4)</f>
        <v>0x02A0</v>
      </c>
      <c r="D172" s="3" t="str">
        <f t="shared" si="9"/>
        <v>DCU 137 stauts register</v>
      </c>
      <c r="E172" s="3" t="s">
        <v>14</v>
      </c>
    </row>
    <row r="173" spans="2:5" x14ac:dyDescent="0.25">
      <c r="B173" s="10">
        <f t="shared" si="10"/>
        <v>169</v>
      </c>
      <c r="C173" s="3" t="str">
        <f t="shared" si="11"/>
        <v>0x02A4</v>
      </c>
      <c r="D173" s="3" t="str">
        <f t="shared" si="9"/>
        <v>DCU 138 stauts register</v>
      </c>
      <c r="E173" s="3" t="s">
        <v>14</v>
      </c>
    </row>
    <row r="174" spans="2:5" x14ac:dyDescent="0.25">
      <c r="B174" s="10">
        <f t="shared" si="10"/>
        <v>170</v>
      </c>
      <c r="C174" s="3" t="str">
        <f t="shared" si="11"/>
        <v>0x02A8</v>
      </c>
      <c r="D174" s="3" t="str">
        <f t="shared" si="9"/>
        <v>DCU 139 stauts register</v>
      </c>
      <c r="E174" s="3" t="s">
        <v>14</v>
      </c>
    </row>
    <row r="175" spans="2:5" x14ac:dyDescent="0.25">
      <c r="B175" s="10">
        <f t="shared" si="10"/>
        <v>171</v>
      </c>
      <c r="C175" s="3" t="str">
        <f t="shared" si="11"/>
        <v>0x02AC</v>
      </c>
      <c r="D175" s="3" t="str">
        <f t="shared" si="9"/>
        <v>DCU 140 stauts register</v>
      </c>
      <c r="E175" s="3" t="s">
        <v>14</v>
      </c>
    </row>
    <row r="176" spans="2:5" x14ac:dyDescent="0.25">
      <c r="B176" s="10">
        <f t="shared" si="10"/>
        <v>172</v>
      </c>
      <c r="C176" s="3" t="str">
        <f t="shared" si="11"/>
        <v>0x02B0</v>
      </c>
      <c r="D176" s="3" t="str">
        <f t="shared" si="9"/>
        <v>DCU 141 stauts register</v>
      </c>
      <c r="E176" s="3" t="s">
        <v>14</v>
      </c>
    </row>
    <row r="177" spans="2:5" x14ac:dyDescent="0.25">
      <c r="B177" s="10">
        <f t="shared" si="10"/>
        <v>173</v>
      </c>
      <c r="C177" s="3" t="str">
        <f t="shared" si="11"/>
        <v>0x02B4</v>
      </c>
      <c r="D177" s="3" t="str">
        <f t="shared" si="9"/>
        <v>DCU 142 stauts register</v>
      </c>
      <c r="E177" s="3" t="s">
        <v>14</v>
      </c>
    </row>
    <row r="178" spans="2:5" x14ac:dyDescent="0.25">
      <c r="B178" s="10">
        <f t="shared" si="10"/>
        <v>174</v>
      </c>
      <c r="C178" s="3" t="str">
        <f t="shared" si="11"/>
        <v>0x02B8</v>
      </c>
      <c r="D178" s="3" t="str">
        <f t="shared" si="9"/>
        <v>DCU 143 stauts register</v>
      </c>
      <c r="E178" s="3" t="s">
        <v>14</v>
      </c>
    </row>
    <row r="179" spans="2:5" x14ac:dyDescent="0.25">
      <c r="B179" s="10">
        <f t="shared" si="10"/>
        <v>175</v>
      </c>
      <c r="C179" s="3" t="str">
        <f t="shared" si="11"/>
        <v>0x02BC</v>
      </c>
      <c r="D179" s="3" t="str">
        <f t="shared" si="9"/>
        <v>DCU 144 stauts register</v>
      </c>
      <c r="E179" s="3" t="s">
        <v>14</v>
      </c>
    </row>
    <row r="180" spans="2:5" x14ac:dyDescent="0.25">
      <c r="B180" s="10">
        <f t="shared" si="10"/>
        <v>176</v>
      </c>
      <c r="C180" s="3" t="str">
        <f t="shared" si="11"/>
        <v>0x02C0</v>
      </c>
      <c r="D180" s="3" t="str">
        <f t="shared" si="9"/>
        <v>DCU 145 stauts register</v>
      </c>
      <c r="E180" s="3" t="s">
        <v>14</v>
      </c>
    </row>
    <row r="181" spans="2:5" x14ac:dyDescent="0.25">
      <c r="B181" s="10">
        <f t="shared" si="10"/>
        <v>177</v>
      </c>
      <c r="C181" s="3" t="str">
        <f t="shared" si="11"/>
        <v>0x02C4</v>
      </c>
      <c r="D181" s="3" t="str">
        <f t="shared" si="9"/>
        <v>DCU 146 stauts register</v>
      </c>
      <c r="E181" s="3" t="s">
        <v>14</v>
      </c>
    </row>
    <row r="182" spans="2:5" x14ac:dyDescent="0.25">
      <c r="B182" s="10">
        <f t="shared" si="10"/>
        <v>178</v>
      </c>
      <c r="C182" s="3" t="str">
        <f t="shared" si="11"/>
        <v>0x02C8</v>
      </c>
      <c r="D182" s="3" t="str">
        <f t="shared" si="9"/>
        <v>DCU 147 stauts register</v>
      </c>
      <c r="E182" s="3" t="s">
        <v>14</v>
      </c>
    </row>
    <row r="183" spans="2:5" x14ac:dyDescent="0.25">
      <c r="B183" s="10">
        <f t="shared" si="10"/>
        <v>179</v>
      </c>
      <c r="C183" s="3" t="str">
        <f t="shared" si="11"/>
        <v>0x02CC</v>
      </c>
      <c r="D183" s="3" t="str">
        <f t="shared" si="9"/>
        <v>DCU 148 stauts register</v>
      </c>
      <c r="E183" s="3" t="s">
        <v>14</v>
      </c>
    </row>
    <row r="184" spans="2:5" x14ac:dyDescent="0.25">
      <c r="B184" s="10">
        <f t="shared" si="10"/>
        <v>180</v>
      </c>
      <c r="C184" s="3" t="str">
        <f t="shared" si="11"/>
        <v>0x02D0</v>
      </c>
      <c r="D184" s="3" t="str">
        <f t="shared" si="9"/>
        <v>DCU 149 stauts register</v>
      </c>
      <c r="E184" s="3" t="s">
        <v>14</v>
      </c>
    </row>
    <row r="185" spans="2:5" x14ac:dyDescent="0.25">
      <c r="B185" s="10">
        <f t="shared" si="10"/>
        <v>181</v>
      </c>
      <c r="C185" s="3" t="str">
        <f t="shared" si="11"/>
        <v>0x02D4</v>
      </c>
      <c r="D185" s="3" t="str">
        <f t="shared" si="9"/>
        <v>DCU 150 stauts register</v>
      </c>
      <c r="E185" s="3" t="s">
        <v>14</v>
      </c>
    </row>
    <row r="186" spans="2:5" x14ac:dyDescent="0.25">
      <c r="B186" s="10">
        <f t="shared" si="10"/>
        <v>182</v>
      </c>
      <c r="C186" s="3" t="str">
        <f t="shared" si="11"/>
        <v>0x02D8</v>
      </c>
      <c r="D186" s="3" t="str">
        <f t="shared" si="9"/>
        <v>DCU 151 stauts register</v>
      </c>
      <c r="E186" s="3" t="s">
        <v>14</v>
      </c>
    </row>
    <row r="187" spans="2:5" x14ac:dyDescent="0.25">
      <c r="B187" s="10">
        <f t="shared" si="10"/>
        <v>183</v>
      </c>
      <c r="C187" s="3" t="str">
        <f t="shared" si="11"/>
        <v>0x02DC</v>
      </c>
      <c r="D187" s="3" t="str">
        <f t="shared" si="9"/>
        <v>DCU 152 stauts register</v>
      </c>
      <c r="E187" s="3" t="s">
        <v>14</v>
      </c>
    </row>
    <row r="188" spans="2:5" x14ac:dyDescent="0.25">
      <c r="B188" s="49" t="s">
        <v>59</v>
      </c>
      <c r="C188" s="49"/>
      <c r="D188" s="49"/>
      <c r="E188" s="49"/>
    </row>
    <row r="189" spans="2:5" x14ac:dyDescent="0.25">
      <c r="B189" s="10">
        <f>1+B187</f>
        <v>184</v>
      </c>
      <c r="C189" s="3" t="str">
        <f t="shared" ref="C189:C252" si="12">"0x"&amp;DEC2HEX((B189)*4,4)</f>
        <v>0x02E0</v>
      </c>
      <c r="D189" s="3" t="str">
        <f xml:space="preserve"> "DCU "&amp;B189-$B$187&amp;" SCLK Delay register"</f>
        <v>DCU 1 SCLK Delay register</v>
      </c>
      <c r="E189" s="3" t="s">
        <v>15</v>
      </c>
    </row>
    <row r="190" spans="2:5" x14ac:dyDescent="0.25">
      <c r="B190" s="10">
        <f>1+B189</f>
        <v>185</v>
      </c>
      <c r="C190" s="3" t="str">
        <f t="shared" si="12"/>
        <v>0x02E4</v>
      </c>
      <c r="D190" s="3" t="str">
        <f t="shared" ref="D190:D253" si="13" xml:space="preserve"> "DCU "&amp;B190-$B$187&amp;" SCLK Delay register"</f>
        <v>DCU 2 SCLK Delay register</v>
      </c>
      <c r="E190" s="3" t="s">
        <v>15</v>
      </c>
    </row>
    <row r="191" spans="2:5" x14ac:dyDescent="0.25">
      <c r="B191" s="10">
        <f t="shared" ref="B191:B254" si="14">1+B190</f>
        <v>186</v>
      </c>
      <c r="C191" s="3" t="str">
        <f t="shared" si="12"/>
        <v>0x02E8</v>
      </c>
      <c r="D191" s="3" t="str">
        <f t="shared" si="13"/>
        <v>DCU 3 SCLK Delay register</v>
      </c>
      <c r="E191" s="3" t="s">
        <v>15</v>
      </c>
    </row>
    <row r="192" spans="2:5" x14ac:dyDescent="0.25">
      <c r="B192" s="10">
        <f t="shared" si="14"/>
        <v>187</v>
      </c>
      <c r="C192" s="3" t="str">
        <f t="shared" si="12"/>
        <v>0x02EC</v>
      </c>
      <c r="D192" s="3" t="str">
        <f t="shared" si="13"/>
        <v>DCU 4 SCLK Delay register</v>
      </c>
      <c r="E192" s="3" t="s">
        <v>15</v>
      </c>
    </row>
    <row r="193" spans="2:5" x14ac:dyDescent="0.25">
      <c r="B193" s="10">
        <f t="shared" si="14"/>
        <v>188</v>
      </c>
      <c r="C193" s="3" t="str">
        <f t="shared" si="12"/>
        <v>0x02F0</v>
      </c>
      <c r="D193" s="3" t="str">
        <f t="shared" si="13"/>
        <v>DCU 5 SCLK Delay register</v>
      </c>
      <c r="E193" s="3" t="s">
        <v>15</v>
      </c>
    </row>
    <row r="194" spans="2:5" x14ac:dyDescent="0.25">
      <c r="B194" s="10">
        <f t="shared" si="14"/>
        <v>189</v>
      </c>
      <c r="C194" s="3" t="str">
        <f t="shared" si="12"/>
        <v>0x02F4</v>
      </c>
      <c r="D194" s="3" t="str">
        <f t="shared" si="13"/>
        <v>DCU 6 SCLK Delay register</v>
      </c>
      <c r="E194" s="3" t="s">
        <v>15</v>
      </c>
    </row>
    <row r="195" spans="2:5" x14ac:dyDescent="0.25">
      <c r="B195" s="10">
        <f t="shared" si="14"/>
        <v>190</v>
      </c>
      <c r="C195" s="3" t="str">
        <f t="shared" si="12"/>
        <v>0x02F8</v>
      </c>
      <c r="D195" s="3" t="str">
        <f t="shared" si="13"/>
        <v>DCU 7 SCLK Delay register</v>
      </c>
      <c r="E195" s="3" t="s">
        <v>15</v>
      </c>
    </row>
    <row r="196" spans="2:5" x14ac:dyDescent="0.25">
      <c r="B196" s="10">
        <f t="shared" si="14"/>
        <v>191</v>
      </c>
      <c r="C196" s="3" t="str">
        <f t="shared" si="12"/>
        <v>0x02FC</v>
      </c>
      <c r="D196" s="3" t="str">
        <f t="shared" si="13"/>
        <v>DCU 8 SCLK Delay register</v>
      </c>
      <c r="E196" s="3" t="s">
        <v>15</v>
      </c>
    </row>
    <row r="197" spans="2:5" x14ac:dyDescent="0.25">
      <c r="B197" s="10">
        <f t="shared" si="14"/>
        <v>192</v>
      </c>
      <c r="C197" s="3" t="str">
        <f t="shared" si="12"/>
        <v>0x0300</v>
      </c>
      <c r="D197" s="3" t="str">
        <f t="shared" si="13"/>
        <v>DCU 9 SCLK Delay register</v>
      </c>
      <c r="E197" s="3" t="s">
        <v>15</v>
      </c>
    </row>
    <row r="198" spans="2:5" x14ac:dyDescent="0.25">
      <c r="B198" s="10">
        <f t="shared" si="14"/>
        <v>193</v>
      </c>
      <c r="C198" s="3" t="str">
        <f t="shared" si="12"/>
        <v>0x0304</v>
      </c>
      <c r="D198" s="3" t="str">
        <f t="shared" si="13"/>
        <v>DCU 10 SCLK Delay register</v>
      </c>
      <c r="E198" s="3" t="s">
        <v>15</v>
      </c>
    </row>
    <row r="199" spans="2:5" x14ac:dyDescent="0.25">
      <c r="B199" s="10">
        <f t="shared" si="14"/>
        <v>194</v>
      </c>
      <c r="C199" s="3" t="str">
        <f t="shared" si="12"/>
        <v>0x0308</v>
      </c>
      <c r="D199" s="3" t="str">
        <f t="shared" si="13"/>
        <v>DCU 11 SCLK Delay register</v>
      </c>
      <c r="E199" s="3" t="s">
        <v>15</v>
      </c>
    </row>
    <row r="200" spans="2:5" x14ac:dyDescent="0.25">
      <c r="B200" s="10">
        <f t="shared" si="14"/>
        <v>195</v>
      </c>
      <c r="C200" s="3" t="str">
        <f t="shared" si="12"/>
        <v>0x030C</v>
      </c>
      <c r="D200" s="3" t="str">
        <f t="shared" si="13"/>
        <v>DCU 12 SCLK Delay register</v>
      </c>
      <c r="E200" s="3" t="s">
        <v>15</v>
      </c>
    </row>
    <row r="201" spans="2:5" x14ac:dyDescent="0.25">
      <c r="B201" s="10">
        <f t="shared" si="14"/>
        <v>196</v>
      </c>
      <c r="C201" s="3" t="str">
        <f t="shared" si="12"/>
        <v>0x0310</v>
      </c>
      <c r="D201" s="3" t="str">
        <f t="shared" si="13"/>
        <v>DCU 13 SCLK Delay register</v>
      </c>
      <c r="E201" s="3" t="s">
        <v>15</v>
      </c>
    </row>
    <row r="202" spans="2:5" x14ac:dyDescent="0.25">
      <c r="B202" s="10">
        <f t="shared" si="14"/>
        <v>197</v>
      </c>
      <c r="C202" s="3" t="str">
        <f t="shared" si="12"/>
        <v>0x0314</v>
      </c>
      <c r="D202" s="3" t="str">
        <f t="shared" si="13"/>
        <v>DCU 14 SCLK Delay register</v>
      </c>
      <c r="E202" s="3" t="s">
        <v>15</v>
      </c>
    </row>
    <row r="203" spans="2:5" x14ac:dyDescent="0.25">
      <c r="B203" s="10">
        <f t="shared" si="14"/>
        <v>198</v>
      </c>
      <c r="C203" s="3" t="str">
        <f t="shared" si="12"/>
        <v>0x0318</v>
      </c>
      <c r="D203" s="3" t="str">
        <f t="shared" si="13"/>
        <v>DCU 15 SCLK Delay register</v>
      </c>
      <c r="E203" s="3" t="s">
        <v>15</v>
      </c>
    </row>
    <row r="204" spans="2:5" x14ac:dyDescent="0.25">
      <c r="B204" s="10">
        <f t="shared" si="14"/>
        <v>199</v>
      </c>
      <c r="C204" s="3" t="str">
        <f t="shared" si="12"/>
        <v>0x031C</v>
      </c>
      <c r="D204" s="3" t="str">
        <f t="shared" si="13"/>
        <v>DCU 16 SCLK Delay register</v>
      </c>
      <c r="E204" s="3" t="s">
        <v>15</v>
      </c>
    </row>
    <row r="205" spans="2:5" x14ac:dyDescent="0.25">
      <c r="B205" s="10">
        <f t="shared" si="14"/>
        <v>200</v>
      </c>
      <c r="C205" s="3" t="str">
        <f t="shared" si="12"/>
        <v>0x0320</v>
      </c>
      <c r="D205" s="3" t="str">
        <f t="shared" si="13"/>
        <v>DCU 17 SCLK Delay register</v>
      </c>
      <c r="E205" s="3" t="s">
        <v>15</v>
      </c>
    </row>
    <row r="206" spans="2:5" x14ac:dyDescent="0.25">
      <c r="B206" s="10">
        <f t="shared" si="14"/>
        <v>201</v>
      </c>
      <c r="C206" s="3" t="str">
        <f t="shared" si="12"/>
        <v>0x0324</v>
      </c>
      <c r="D206" s="3" t="str">
        <f t="shared" si="13"/>
        <v>DCU 18 SCLK Delay register</v>
      </c>
      <c r="E206" s="3" t="s">
        <v>15</v>
      </c>
    </row>
    <row r="207" spans="2:5" x14ac:dyDescent="0.25">
      <c r="B207" s="10">
        <f t="shared" si="14"/>
        <v>202</v>
      </c>
      <c r="C207" s="3" t="str">
        <f t="shared" si="12"/>
        <v>0x0328</v>
      </c>
      <c r="D207" s="3" t="str">
        <f t="shared" si="13"/>
        <v>DCU 19 SCLK Delay register</v>
      </c>
      <c r="E207" s="3" t="s">
        <v>15</v>
      </c>
    </row>
    <row r="208" spans="2:5" x14ac:dyDescent="0.25">
      <c r="B208" s="10">
        <f t="shared" si="14"/>
        <v>203</v>
      </c>
      <c r="C208" s="3" t="str">
        <f t="shared" si="12"/>
        <v>0x032C</v>
      </c>
      <c r="D208" s="3" t="str">
        <f t="shared" si="13"/>
        <v>DCU 20 SCLK Delay register</v>
      </c>
      <c r="E208" s="3" t="s">
        <v>15</v>
      </c>
    </row>
    <row r="209" spans="2:5" x14ac:dyDescent="0.25">
      <c r="B209" s="10">
        <f t="shared" si="14"/>
        <v>204</v>
      </c>
      <c r="C209" s="3" t="str">
        <f t="shared" si="12"/>
        <v>0x0330</v>
      </c>
      <c r="D209" s="3" t="str">
        <f t="shared" si="13"/>
        <v>DCU 21 SCLK Delay register</v>
      </c>
      <c r="E209" s="3" t="s">
        <v>15</v>
      </c>
    </row>
    <row r="210" spans="2:5" x14ac:dyDescent="0.25">
      <c r="B210" s="10">
        <f t="shared" si="14"/>
        <v>205</v>
      </c>
      <c r="C210" s="3" t="str">
        <f t="shared" si="12"/>
        <v>0x0334</v>
      </c>
      <c r="D210" s="3" t="str">
        <f t="shared" si="13"/>
        <v>DCU 22 SCLK Delay register</v>
      </c>
      <c r="E210" s="3" t="s">
        <v>15</v>
      </c>
    </row>
    <row r="211" spans="2:5" x14ac:dyDescent="0.25">
      <c r="B211" s="10">
        <f t="shared" si="14"/>
        <v>206</v>
      </c>
      <c r="C211" s="3" t="str">
        <f t="shared" si="12"/>
        <v>0x0338</v>
      </c>
      <c r="D211" s="3" t="str">
        <f t="shared" si="13"/>
        <v>DCU 23 SCLK Delay register</v>
      </c>
      <c r="E211" s="3" t="s">
        <v>15</v>
      </c>
    </row>
    <row r="212" spans="2:5" x14ac:dyDescent="0.25">
      <c r="B212" s="10">
        <f t="shared" si="14"/>
        <v>207</v>
      </c>
      <c r="C212" s="3" t="str">
        <f t="shared" si="12"/>
        <v>0x033C</v>
      </c>
      <c r="D212" s="3" t="str">
        <f t="shared" si="13"/>
        <v>DCU 24 SCLK Delay register</v>
      </c>
      <c r="E212" s="3" t="s">
        <v>15</v>
      </c>
    </row>
    <row r="213" spans="2:5" x14ac:dyDescent="0.25">
      <c r="B213" s="10">
        <f t="shared" si="14"/>
        <v>208</v>
      </c>
      <c r="C213" s="3" t="str">
        <f t="shared" si="12"/>
        <v>0x0340</v>
      </c>
      <c r="D213" s="3" t="str">
        <f t="shared" si="13"/>
        <v>DCU 25 SCLK Delay register</v>
      </c>
      <c r="E213" s="3" t="s">
        <v>15</v>
      </c>
    </row>
    <row r="214" spans="2:5" x14ac:dyDescent="0.25">
      <c r="B214" s="10">
        <f t="shared" si="14"/>
        <v>209</v>
      </c>
      <c r="C214" s="3" t="str">
        <f t="shared" si="12"/>
        <v>0x0344</v>
      </c>
      <c r="D214" s="3" t="str">
        <f t="shared" si="13"/>
        <v>DCU 26 SCLK Delay register</v>
      </c>
      <c r="E214" s="3" t="s">
        <v>15</v>
      </c>
    </row>
    <row r="215" spans="2:5" x14ac:dyDescent="0.25">
      <c r="B215" s="10">
        <f t="shared" si="14"/>
        <v>210</v>
      </c>
      <c r="C215" s="3" t="str">
        <f t="shared" si="12"/>
        <v>0x0348</v>
      </c>
      <c r="D215" s="3" t="str">
        <f t="shared" si="13"/>
        <v>DCU 27 SCLK Delay register</v>
      </c>
      <c r="E215" s="3" t="s">
        <v>15</v>
      </c>
    </row>
    <row r="216" spans="2:5" x14ac:dyDescent="0.25">
      <c r="B216" s="10">
        <f t="shared" si="14"/>
        <v>211</v>
      </c>
      <c r="C216" s="3" t="str">
        <f t="shared" si="12"/>
        <v>0x034C</v>
      </c>
      <c r="D216" s="3" t="str">
        <f t="shared" si="13"/>
        <v>DCU 28 SCLK Delay register</v>
      </c>
      <c r="E216" s="3" t="s">
        <v>15</v>
      </c>
    </row>
    <row r="217" spans="2:5" x14ac:dyDescent="0.25">
      <c r="B217" s="10">
        <f t="shared" si="14"/>
        <v>212</v>
      </c>
      <c r="C217" s="3" t="str">
        <f t="shared" si="12"/>
        <v>0x0350</v>
      </c>
      <c r="D217" s="3" t="str">
        <f t="shared" si="13"/>
        <v>DCU 29 SCLK Delay register</v>
      </c>
      <c r="E217" s="3" t="s">
        <v>15</v>
      </c>
    </row>
    <row r="218" spans="2:5" x14ac:dyDescent="0.25">
      <c r="B218" s="10">
        <f t="shared" si="14"/>
        <v>213</v>
      </c>
      <c r="C218" s="3" t="str">
        <f t="shared" si="12"/>
        <v>0x0354</v>
      </c>
      <c r="D218" s="3" t="str">
        <f t="shared" si="13"/>
        <v>DCU 30 SCLK Delay register</v>
      </c>
      <c r="E218" s="3" t="s">
        <v>15</v>
      </c>
    </row>
    <row r="219" spans="2:5" x14ac:dyDescent="0.25">
      <c r="B219" s="10">
        <f t="shared" si="14"/>
        <v>214</v>
      </c>
      <c r="C219" s="3" t="str">
        <f t="shared" si="12"/>
        <v>0x0358</v>
      </c>
      <c r="D219" s="3" t="str">
        <f t="shared" si="13"/>
        <v>DCU 31 SCLK Delay register</v>
      </c>
      <c r="E219" s="3" t="s">
        <v>15</v>
      </c>
    </row>
    <row r="220" spans="2:5" x14ac:dyDescent="0.25">
      <c r="B220" s="10">
        <f t="shared" si="14"/>
        <v>215</v>
      </c>
      <c r="C220" s="3" t="str">
        <f t="shared" si="12"/>
        <v>0x035C</v>
      </c>
      <c r="D220" s="3" t="str">
        <f t="shared" si="13"/>
        <v>DCU 32 SCLK Delay register</v>
      </c>
      <c r="E220" s="3" t="s">
        <v>15</v>
      </c>
    </row>
    <row r="221" spans="2:5" x14ac:dyDescent="0.25">
      <c r="B221" s="10">
        <f t="shared" si="14"/>
        <v>216</v>
      </c>
      <c r="C221" s="3" t="str">
        <f t="shared" si="12"/>
        <v>0x0360</v>
      </c>
      <c r="D221" s="3" t="str">
        <f t="shared" si="13"/>
        <v>DCU 33 SCLK Delay register</v>
      </c>
      <c r="E221" s="3" t="s">
        <v>15</v>
      </c>
    </row>
    <row r="222" spans="2:5" x14ac:dyDescent="0.25">
      <c r="B222" s="10">
        <f t="shared" si="14"/>
        <v>217</v>
      </c>
      <c r="C222" s="3" t="str">
        <f t="shared" si="12"/>
        <v>0x0364</v>
      </c>
      <c r="D222" s="3" t="str">
        <f t="shared" si="13"/>
        <v>DCU 34 SCLK Delay register</v>
      </c>
      <c r="E222" s="3" t="s">
        <v>15</v>
      </c>
    </row>
    <row r="223" spans="2:5" x14ac:dyDescent="0.25">
      <c r="B223" s="10">
        <f t="shared" si="14"/>
        <v>218</v>
      </c>
      <c r="C223" s="3" t="str">
        <f t="shared" si="12"/>
        <v>0x0368</v>
      </c>
      <c r="D223" s="3" t="str">
        <f t="shared" si="13"/>
        <v>DCU 35 SCLK Delay register</v>
      </c>
      <c r="E223" s="3" t="s">
        <v>15</v>
      </c>
    </row>
    <row r="224" spans="2:5" x14ac:dyDescent="0.25">
      <c r="B224" s="10">
        <f t="shared" si="14"/>
        <v>219</v>
      </c>
      <c r="C224" s="3" t="str">
        <f t="shared" si="12"/>
        <v>0x036C</v>
      </c>
      <c r="D224" s="3" t="str">
        <f t="shared" si="13"/>
        <v>DCU 36 SCLK Delay register</v>
      </c>
      <c r="E224" s="3" t="s">
        <v>15</v>
      </c>
    </row>
    <row r="225" spans="2:5" x14ac:dyDescent="0.25">
      <c r="B225" s="10">
        <f t="shared" si="14"/>
        <v>220</v>
      </c>
      <c r="C225" s="3" t="str">
        <f t="shared" si="12"/>
        <v>0x0370</v>
      </c>
      <c r="D225" s="3" t="str">
        <f t="shared" si="13"/>
        <v>DCU 37 SCLK Delay register</v>
      </c>
      <c r="E225" s="3" t="s">
        <v>15</v>
      </c>
    </row>
    <row r="226" spans="2:5" x14ac:dyDescent="0.25">
      <c r="B226" s="10">
        <f t="shared" si="14"/>
        <v>221</v>
      </c>
      <c r="C226" s="3" t="str">
        <f t="shared" si="12"/>
        <v>0x0374</v>
      </c>
      <c r="D226" s="3" t="str">
        <f t="shared" si="13"/>
        <v>DCU 38 SCLK Delay register</v>
      </c>
      <c r="E226" s="3" t="s">
        <v>15</v>
      </c>
    </row>
    <row r="227" spans="2:5" x14ac:dyDescent="0.25">
      <c r="B227" s="10">
        <f t="shared" si="14"/>
        <v>222</v>
      </c>
      <c r="C227" s="3" t="str">
        <f t="shared" si="12"/>
        <v>0x0378</v>
      </c>
      <c r="D227" s="3" t="str">
        <f t="shared" si="13"/>
        <v>DCU 39 SCLK Delay register</v>
      </c>
      <c r="E227" s="3" t="s">
        <v>15</v>
      </c>
    </row>
    <row r="228" spans="2:5" x14ac:dyDescent="0.25">
      <c r="B228" s="10">
        <f t="shared" si="14"/>
        <v>223</v>
      </c>
      <c r="C228" s="3" t="str">
        <f t="shared" si="12"/>
        <v>0x037C</v>
      </c>
      <c r="D228" s="3" t="str">
        <f t="shared" si="13"/>
        <v>DCU 40 SCLK Delay register</v>
      </c>
      <c r="E228" s="3" t="s">
        <v>15</v>
      </c>
    </row>
    <row r="229" spans="2:5" x14ac:dyDescent="0.25">
      <c r="B229" s="10">
        <f t="shared" si="14"/>
        <v>224</v>
      </c>
      <c r="C229" s="3" t="str">
        <f t="shared" si="12"/>
        <v>0x0380</v>
      </c>
      <c r="D229" s="3" t="str">
        <f t="shared" si="13"/>
        <v>DCU 41 SCLK Delay register</v>
      </c>
      <c r="E229" s="3" t="s">
        <v>15</v>
      </c>
    </row>
    <row r="230" spans="2:5" x14ac:dyDescent="0.25">
      <c r="B230" s="10">
        <f t="shared" si="14"/>
        <v>225</v>
      </c>
      <c r="C230" s="3" t="str">
        <f t="shared" si="12"/>
        <v>0x0384</v>
      </c>
      <c r="D230" s="3" t="str">
        <f t="shared" si="13"/>
        <v>DCU 42 SCLK Delay register</v>
      </c>
      <c r="E230" s="3" t="s">
        <v>15</v>
      </c>
    </row>
    <row r="231" spans="2:5" x14ac:dyDescent="0.25">
      <c r="B231" s="10">
        <f t="shared" si="14"/>
        <v>226</v>
      </c>
      <c r="C231" s="3" t="str">
        <f t="shared" si="12"/>
        <v>0x0388</v>
      </c>
      <c r="D231" s="3" t="str">
        <f t="shared" si="13"/>
        <v>DCU 43 SCLK Delay register</v>
      </c>
      <c r="E231" s="3" t="s">
        <v>15</v>
      </c>
    </row>
    <row r="232" spans="2:5" x14ac:dyDescent="0.25">
      <c r="B232" s="10">
        <f t="shared" si="14"/>
        <v>227</v>
      </c>
      <c r="C232" s="3" t="str">
        <f t="shared" si="12"/>
        <v>0x038C</v>
      </c>
      <c r="D232" s="3" t="str">
        <f t="shared" si="13"/>
        <v>DCU 44 SCLK Delay register</v>
      </c>
      <c r="E232" s="3" t="s">
        <v>15</v>
      </c>
    </row>
    <row r="233" spans="2:5" x14ac:dyDescent="0.25">
      <c r="B233" s="10">
        <f t="shared" si="14"/>
        <v>228</v>
      </c>
      <c r="C233" s="3" t="str">
        <f t="shared" si="12"/>
        <v>0x0390</v>
      </c>
      <c r="D233" s="3" t="str">
        <f t="shared" si="13"/>
        <v>DCU 45 SCLK Delay register</v>
      </c>
      <c r="E233" s="3" t="s">
        <v>15</v>
      </c>
    </row>
    <row r="234" spans="2:5" x14ac:dyDescent="0.25">
      <c r="B234" s="10">
        <f t="shared" si="14"/>
        <v>229</v>
      </c>
      <c r="C234" s="3" t="str">
        <f t="shared" si="12"/>
        <v>0x0394</v>
      </c>
      <c r="D234" s="3" t="str">
        <f t="shared" si="13"/>
        <v>DCU 46 SCLK Delay register</v>
      </c>
      <c r="E234" s="3" t="s">
        <v>15</v>
      </c>
    </row>
    <row r="235" spans="2:5" x14ac:dyDescent="0.25">
      <c r="B235" s="10">
        <f t="shared" si="14"/>
        <v>230</v>
      </c>
      <c r="C235" s="3" t="str">
        <f t="shared" si="12"/>
        <v>0x0398</v>
      </c>
      <c r="D235" s="3" t="str">
        <f t="shared" si="13"/>
        <v>DCU 47 SCLK Delay register</v>
      </c>
      <c r="E235" s="3" t="s">
        <v>15</v>
      </c>
    </row>
    <row r="236" spans="2:5" x14ac:dyDescent="0.25">
      <c r="B236" s="10">
        <f t="shared" si="14"/>
        <v>231</v>
      </c>
      <c r="C236" s="3" t="str">
        <f t="shared" si="12"/>
        <v>0x039C</v>
      </c>
      <c r="D236" s="3" t="str">
        <f t="shared" si="13"/>
        <v>DCU 48 SCLK Delay register</v>
      </c>
      <c r="E236" s="3" t="s">
        <v>15</v>
      </c>
    </row>
    <row r="237" spans="2:5" x14ac:dyDescent="0.25">
      <c r="B237" s="10">
        <f t="shared" si="14"/>
        <v>232</v>
      </c>
      <c r="C237" s="3" t="str">
        <f t="shared" si="12"/>
        <v>0x03A0</v>
      </c>
      <c r="D237" s="3" t="str">
        <f t="shared" si="13"/>
        <v>DCU 49 SCLK Delay register</v>
      </c>
      <c r="E237" s="3" t="s">
        <v>15</v>
      </c>
    </row>
    <row r="238" spans="2:5" x14ac:dyDescent="0.25">
      <c r="B238" s="10">
        <f t="shared" si="14"/>
        <v>233</v>
      </c>
      <c r="C238" s="3" t="str">
        <f t="shared" si="12"/>
        <v>0x03A4</v>
      </c>
      <c r="D238" s="3" t="str">
        <f t="shared" si="13"/>
        <v>DCU 50 SCLK Delay register</v>
      </c>
      <c r="E238" s="3" t="s">
        <v>15</v>
      </c>
    </row>
    <row r="239" spans="2:5" x14ac:dyDescent="0.25">
      <c r="B239" s="10">
        <f t="shared" si="14"/>
        <v>234</v>
      </c>
      <c r="C239" s="3" t="str">
        <f t="shared" si="12"/>
        <v>0x03A8</v>
      </c>
      <c r="D239" s="3" t="str">
        <f t="shared" si="13"/>
        <v>DCU 51 SCLK Delay register</v>
      </c>
      <c r="E239" s="3" t="s">
        <v>15</v>
      </c>
    </row>
    <row r="240" spans="2:5" x14ac:dyDescent="0.25">
      <c r="B240" s="10">
        <f t="shared" si="14"/>
        <v>235</v>
      </c>
      <c r="C240" s="3" t="str">
        <f t="shared" si="12"/>
        <v>0x03AC</v>
      </c>
      <c r="D240" s="3" t="str">
        <f t="shared" si="13"/>
        <v>DCU 52 SCLK Delay register</v>
      </c>
      <c r="E240" s="3" t="s">
        <v>15</v>
      </c>
    </row>
    <row r="241" spans="2:5" x14ac:dyDescent="0.25">
      <c r="B241" s="10">
        <f t="shared" si="14"/>
        <v>236</v>
      </c>
      <c r="C241" s="3" t="str">
        <f t="shared" si="12"/>
        <v>0x03B0</v>
      </c>
      <c r="D241" s="3" t="str">
        <f t="shared" si="13"/>
        <v>DCU 53 SCLK Delay register</v>
      </c>
      <c r="E241" s="3" t="s">
        <v>15</v>
      </c>
    </row>
    <row r="242" spans="2:5" x14ac:dyDescent="0.25">
      <c r="B242" s="10">
        <f t="shared" si="14"/>
        <v>237</v>
      </c>
      <c r="C242" s="3" t="str">
        <f t="shared" si="12"/>
        <v>0x03B4</v>
      </c>
      <c r="D242" s="3" t="str">
        <f t="shared" si="13"/>
        <v>DCU 54 SCLK Delay register</v>
      </c>
      <c r="E242" s="3" t="s">
        <v>15</v>
      </c>
    </row>
    <row r="243" spans="2:5" x14ac:dyDescent="0.25">
      <c r="B243" s="10">
        <f t="shared" si="14"/>
        <v>238</v>
      </c>
      <c r="C243" s="3" t="str">
        <f t="shared" si="12"/>
        <v>0x03B8</v>
      </c>
      <c r="D243" s="3" t="str">
        <f t="shared" si="13"/>
        <v>DCU 55 SCLK Delay register</v>
      </c>
      <c r="E243" s="3" t="s">
        <v>15</v>
      </c>
    </row>
    <row r="244" spans="2:5" x14ac:dyDescent="0.25">
      <c r="B244" s="10">
        <f t="shared" si="14"/>
        <v>239</v>
      </c>
      <c r="C244" s="3" t="str">
        <f t="shared" si="12"/>
        <v>0x03BC</v>
      </c>
      <c r="D244" s="3" t="str">
        <f t="shared" si="13"/>
        <v>DCU 56 SCLK Delay register</v>
      </c>
      <c r="E244" s="3" t="s">
        <v>15</v>
      </c>
    </row>
    <row r="245" spans="2:5" x14ac:dyDescent="0.25">
      <c r="B245" s="10">
        <f t="shared" si="14"/>
        <v>240</v>
      </c>
      <c r="C245" s="3" t="str">
        <f t="shared" si="12"/>
        <v>0x03C0</v>
      </c>
      <c r="D245" s="3" t="str">
        <f t="shared" si="13"/>
        <v>DCU 57 SCLK Delay register</v>
      </c>
      <c r="E245" s="3" t="s">
        <v>15</v>
      </c>
    </row>
    <row r="246" spans="2:5" x14ac:dyDescent="0.25">
      <c r="B246" s="10">
        <f t="shared" si="14"/>
        <v>241</v>
      </c>
      <c r="C246" s="3" t="str">
        <f t="shared" si="12"/>
        <v>0x03C4</v>
      </c>
      <c r="D246" s="3" t="str">
        <f t="shared" si="13"/>
        <v>DCU 58 SCLK Delay register</v>
      </c>
      <c r="E246" s="3" t="s">
        <v>15</v>
      </c>
    </row>
    <row r="247" spans="2:5" x14ac:dyDescent="0.25">
      <c r="B247" s="10">
        <f t="shared" si="14"/>
        <v>242</v>
      </c>
      <c r="C247" s="3" t="str">
        <f t="shared" si="12"/>
        <v>0x03C8</v>
      </c>
      <c r="D247" s="3" t="str">
        <f t="shared" si="13"/>
        <v>DCU 59 SCLK Delay register</v>
      </c>
      <c r="E247" s="3" t="s">
        <v>15</v>
      </c>
    </row>
    <row r="248" spans="2:5" x14ac:dyDescent="0.25">
      <c r="B248" s="10">
        <f t="shared" si="14"/>
        <v>243</v>
      </c>
      <c r="C248" s="3" t="str">
        <f t="shared" si="12"/>
        <v>0x03CC</v>
      </c>
      <c r="D248" s="3" t="str">
        <f t="shared" si="13"/>
        <v>DCU 60 SCLK Delay register</v>
      </c>
      <c r="E248" s="3" t="s">
        <v>15</v>
      </c>
    </row>
    <row r="249" spans="2:5" x14ac:dyDescent="0.25">
      <c r="B249" s="10">
        <f t="shared" si="14"/>
        <v>244</v>
      </c>
      <c r="C249" s="3" t="str">
        <f t="shared" si="12"/>
        <v>0x03D0</v>
      </c>
      <c r="D249" s="3" t="str">
        <f t="shared" si="13"/>
        <v>DCU 61 SCLK Delay register</v>
      </c>
      <c r="E249" s="3" t="s">
        <v>15</v>
      </c>
    </row>
    <row r="250" spans="2:5" x14ac:dyDescent="0.25">
      <c r="B250" s="10">
        <f t="shared" si="14"/>
        <v>245</v>
      </c>
      <c r="C250" s="3" t="str">
        <f t="shared" si="12"/>
        <v>0x03D4</v>
      </c>
      <c r="D250" s="3" t="str">
        <f t="shared" si="13"/>
        <v>DCU 62 SCLK Delay register</v>
      </c>
      <c r="E250" s="3" t="s">
        <v>15</v>
      </c>
    </row>
    <row r="251" spans="2:5" x14ac:dyDescent="0.25">
      <c r="B251" s="10">
        <f t="shared" si="14"/>
        <v>246</v>
      </c>
      <c r="C251" s="3" t="str">
        <f t="shared" si="12"/>
        <v>0x03D8</v>
      </c>
      <c r="D251" s="3" t="str">
        <f t="shared" si="13"/>
        <v>DCU 63 SCLK Delay register</v>
      </c>
      <c r="E251" s="3" t="s">
        <v>15</v>
      </c>
    </row>
    <row r="252" spans="2:5" x14ac:dyDescent="0.25">
      <c r="B252" s="10">
        <f t="shared" si="14"/>
        <v>247</v>
      </c>
      <c r="C252" s="3" t="str">
        <f t="shared" si="12"/>
        <v>0x03DC</v>
      </c>
      <c r="D252" s="3" t="str">
        <f t="shared" si="13"/>
        <v>DCU 64 SCLK Delay register</v>
      </c>
      <c r="E252" s="3" t="s">
        <v>15</v>
      </c>
    </row>
    <row r="253" spans="2:5" x14ac:dyDescent="0.25">
      <c r="B253" s="10">
        <f t="shared" si="14"/>
        <v>248</v>
      </c>
      <c r="C253" s="3" t="str">
        <f t="shared" ref="C253:C316" si="15">"0x"&amp;DEC2HEX((B253)*4,4)</f>
        <v>0x03E0</v>
      </c>
      <c r="D253" s="3" t="str">
        <f t="shared" si="13"/>
        <v>DCU 65 SCLK Delay register</v>
      </c>
      <c r="E253" s="3" t="s">
        <v>15</v>
      </c>
    </row>
    <row r="254" spans="2:5" x14ac:dyDescent="0.25">
      <c r="B254" s="10">
        <f t="shared" si="14"/>
        <v>249</v>
      </c>
      <c r="C254" s="3" t="str">
        <f t="shared" si="15"/>
        <v>0x03E4</v>
      </c>
      <c r="D254" s="3" t="str">
        <f t="shared" ref="D254:D317" si="16" xml:space="preserve"> "DCU "&amp;B254-$B$187&amp;" SCLK Delay register"</f>
        <v>DCU 66 SCLK Delay register</v>
      </c>
      <c r="E254" s="3" t="s">
        <v>15</v>
      </c>
    </row>
    <row r="255" spans="2:5" x14ac:dyDescent="0.25">
      <c r="B255" s="10">
        <f t="shared" ref="B255:B318" si="17">1+B254</f>
        <v>250</v>
      </c>
      <c r="C255" s="3" t="str">
        <f t="shared" si="15"/>
        <v>0x03E8</v>
      </c>
      <c r="D255" s="3" t="str">
        <f t="shared" si="16"/>
        <v>DCU 67 SCLK Delay register</v>
      </c>
      <c r="E255" s="3" t="s">
        <v>15</v>
      </c>
    </row>
    <row r="256" spans="2:5" x14ac:dyDescent="0.25">
      <c r="B256" s="10">
        <f t="shared" si="17"/>
        <v>251</v>
      </c>
      <c r="C256" s="3" t="str">
        <f t="shared" si="15"/>
        <v>0x03EC</v>
      </c>
      <c r="D256" s="3" t="str">
        <f t="shared" si="16"/>
        <v>DCU 68 SCLK Delay register</v>
      </c>
      <c r="E256" s="3" t="s">
        <v>15</v>
      </c>
    </row>
    <row r="257" spans="2:5" x14ac:dyDescent="0.25">
      <c r="B257" s="10">
        <f t="shared" si="17"/>
        <v>252</v>
      </c>
      <c r="C257" s="3" t="str">
        <f t="shared" si="15"/>
        <v>0x03F0</v>
      </c>
      <c r="D257" s="3" t="str">
        <f t="shared" si="16"/>
        <v>DCU 69 SCLK Delay register</v>
      </c>
      <c r="E257" s="3" t="s">
        <v>15</v>
      </c>
    </row>
    <row r="258" spans="2:5" x14ac:dyDescent="0.25">
      <c r="B258" s="10">
        <f t="shared" si="17"/>
        <v>253</v>
      </c>
      <c r="C258" s="3" t="str">
        <f t="shared" si="15"/>
        <v>0x03F4</v>
      </c>
      <c r="D258" s="3" t="str">
        <f t="shared" si="16"/>
        <v>DCU 70 SCLK Delay register</v>
      </c>
      <c r="E258" s="3" t="s">
        <v>15</v>
      </c>
    </row>
    <row r="259" spans="2:5" x14ac:dyDescent="0.25">
      <c r="B259" s="10">
        <f t="shared" si="17"/>
        <v>254</v>
      </c>
      <c r="C259" s="3" t="str">
        <f t="shared" si="15"/>
        <v>0x03F8</v>
      </c>
      <c r="D259" s="3" t="str">
        <f t="shared" si="16"/>
        <v>DCU 71 SCLK Delay register</v>
      </c>
      <c r="E259" s="3" t="s">
        <v>15</v>
      </c>
    </row>
    <row r="260" spans="2:5" x14ac:dyDescent="0.25">
      <c r="B260" s="10">
        <f t="shared" si="17"/>
        <v>255</v>
      </c>
      <c r="C260" s="3" t="str">
        <f t="shared" si="15"/>
        <v>0x03FC</v>
      </c>
      <c r="D260" s="3" t="str">
        <f t="shared" si="16"/>
        <v>DCU 72 SCLK Delay register</v>
      </c>
      <c r="E260" s="3" t="s">
        <v>15</v>
      </c>
    </row>
    <row r="261" spans="2:5" x14ac:dyDescent="0.25">
      <c r="B261" s="10">
        <f t="shared" si="17"/>
        <v>256</v>
      </c>
      <c r="C261" s="3" t="str">
        <f t="shared" si="15"/>
        <v>0x0400</v>
      </c>
      <c r="D261" s="3" t="str">
        <f t="shared" si="16"/>
        <v>DCU 73 SCLK Delay register</v>
      </c>
      <c r="E261" s="3" t="s">
        <v>15</v>
      </c>
    </row>
    <row r="262" spans="2:5" x14ac:dyDescent="0.25">
      <c r="B262" s="10">
        <f t="shared" si="17"/>
        <v>257</v>
      </c>
      <c r="C262" s="3" t="str">
        <f t="shared" si="15"/>
        <v>0x0404</v>
      </c>
      <c r="D262" s="3" t="str">
        <f t="shared" si="16"/>
        <v>DCU 74 SCLK Delay register</v>
      </c>
      <c r="E262" s="3" t="s">
        <v>15</v>
      </c>
    </row>
    <row r="263" spans="2:5" x14ac:dyDescent="0.25">
      <c r="B263" s="10">
        <f t="shared" si="17"/>
        <v>258</v>
      </c>
      <c r="C263" s="3" t="str">
        <f t="shared" si="15"/>
        <v>0x0408</v>
      </c>
      <c r="D263" s="3" t="str">
        <f t="shared" si="16"/>
        <v>DCU 75 SCLK Delay register</v>
      </c>
      <c r="E263" s="3" t="s">
        <v>15</v>
      </c>
    </row>
    <row r="264" spans="2:5" x14ac:dyDescent="0.25">
      <c r="B264" s="10">
        <f t="shared" si="17"/>
        <v>259</v>
      </c>
      <c r="C264" s="3" t="str">
        <f t="shared" si="15"/>
        <v>0x040C</v>
      </c>
      <c r="D264" s="3" t="str">
        <f t="shared" si="16"/>
        <v>DCU 76 SCLK Delay register</v>
      </c>
      <c r="E264" s="3" t="s">
        <v>15</v>
      </c>
    </row>
    <row r="265" spans="2:5" x14ac:dyDescent="0.25">
      <c r="B265" s="10">
        <f t="shared" si="17"/>
        <v>260</v>
      </c>
      <c r="C265" s="3" t="str">
        <f t="shared" si="15"/>
        <v>0x0410</v>
      </c>
      <c r="D265" s="3" t="str">
        <f t="shared" si="16"/>
        <v>DCU 77 SCLK Delay register</v>
      </c>
      <c r="E265" s="3" t="s">
        <v>15</v>
      </c>
    </row>
    <row r="266" spans="2:5" x14ac:dyDescent="0.25">
      <c r="B266" s="10">
        <f t="shared" si="17"/>
        <v>261</v>
      </c>
      <c r="C266" s="3" t="str">
        <f t="shared" si="15"/>
        <v>0x0414</v>
      </c>
      <c r="D266" s="3" t="str">
        <f t="shared" si="16"/>
        <v>DCU 78 SCLK Delay register</v>
      </c>
      <c r="E266" s="3" t="s">
        <v>15</v>
      </c>
    </row>
    <row r="267" spans="2:5" x14ac:dyDescent="0.25">
      <c r="B267" s="10">
        <f t="shared" si="17"/>
        <v>262</v>
      </c>
      <c r="C267" s="3" t="str">
        <f t="shared" si="15"/>
        <v>0x0418</v>
      </c>
      <c r="D267" s="3" t="str">
        <f t="shared" si="16"/>
        <v>DCU 79 SCLK Delay register</v>
      </c>
      <c r="E267" s="3" t="s">
        <v>15</v>
      </c>
    </row>
    <row r="268" spans="2:5" x14ac:dyDescent="0.25">
      <c r="B268" s="10">
        <f t="shared" si="17"/>
        <v>263</v>
      </c>
      <c r="C268" s="3" t="str">
        <f t="shared" si="15"/>
        <v>0x041C</v>
      </c>
      <c r="D268" s="3" t="str">
        <f t="shared" si="16"/>
        <v>DCU 80 SCLK Delay register</v>
      </c>
      <c r="E268" s="3" t="s">
        <v>15</v>
      </c>
    </row>
    <row r="269" spans="2:5" x14ac:dyDescent="0.25">
      <c r="B269" s="10">
        <f t="shared" si="17"/>
        <v>264</v>
      </c>
      <c r="C269" s="3" t="str">
        <f t="shared" si="15"/>
        <v>0x0420</v>
      </c>
      <c r="D269" s="3" t="str">
        <f t="shared" si="16"/>
        <v>DCU 81 SCLK Delay register</v>
      </c>
      <c r="E269" s="3" t="s">
        <v>15</v>
      </c>
    </row>
    <row r="270" spans="2:5" x14ac:dyDescent="0.25">
      <c r="B270" s="10">
        <f t="shared" si="17"/>
        <v>265</v>
      </c>
      <c r="C270" s="3" t="str">
        <f t="shared" si="15"/>
        <v>0x0424</v>
      </c>
      <c r="D270" s="3" t="str">
        <f t="shared" si="16"/>
        <v>DCU 82 SCLK Delay register</v>
      </c>
      <c r="E270" s="3" t="s">
        <v>15</v>
      </c>
    </row>
    <row r="271" spans="2:5" x14ac:dyDescent="0.25">
      <c r="B271" s="10">
        <f t="shared" si="17"/>
        <v>266</v>
      </c>
      <c r="C271" s="3" t="str">
        <f t="shared" si="15"/>
        <v>0x0428</v>
      </c>
      <c r="D271" s="3" t="str">
        <f t="shared" si="16"/>
        <v>DCU 83 SCLK Delay register</v>
      </c>
      <c r="E271" s="3" t="s">
        <v>15</v>
      </c>
    </row>
    <row r="272" spans="2:5" x14ac:dyDescent="0.25">
      <c r="B272" s="10">
        <f t="shared" si="17"/>
        <v>267</v>
      </c>
      <c r="C272" s="3" t="str">
        <f t="shared" si="15"/>
        <v>0x042C</v>
      </c>
      <c r="D272" s="3" t="str">
        <f t="shared" si="16"/>
        <v>DCU 84 SCLK Delay register</v>
      </c>
      <c r="E272" s="3" t="s">
        <v>15</v>
      </c>
    </row>
    <row r="273" spans="2:5" x14ac:dyDescent="0.25">
      <c r="B273" s="10">
        <f t="shared" si="17"/>
        <v>268</v>
      </c>
      <c r="C273" s="3" t="str">
        <f t="shared" si="15"/>
        <v>0x0430</v>
      </c>
      <c r="D273" s="3" t="str">
        <f t="shared" si="16"/>
        <v>DCU 85 SCLK Delay register</v>
      </c>
      <c r="E273" s="3" t="s">
        <v>15</v>
      </c>
    </row>
    <row r="274" spans="2:5" x14ac:dyDescent="0.25">
      <c r="B274" s="10">
        <f t="shared" si="17"/>
        <v>269</v>
      </c>
      <c r="C274" s="3" t="str">
        <f t="shared" si="15"/>
        <v>0x0434</v>
      </c>
      <c r="D274" s="3" t="str">
        <f t="shared" si="16"/>
        <v>DCU 86 SCLK Delay register</v>
      </c>
      <c r="E274" s="3" t="s">
        <v>15</v>
      </c>
    </row>
    <row r="275" spans="2:5" x14ac:dyDescent="0.25">
      <c r="B275" s="10">
        <f t="shared" si="17"/>
        <v>270</v>
      </c>
      <c r="C275" s="3" t="str">
        <f t="shared" si="15"/>
        <v>0x0438</v>
      </c>
      <c r="D275" s="3" t="str">
        <f t="shared" si="16"/>
        <v>DCU 87 SCLK Delay register</v>
      </c>
      <c r="E275" s="3" t="s">
        <v>15</v>
      </c>
    </row>
    <row r="276" spans="2:5" x14ac:dyDescent="0.25">
      <c r="B276" s="10">
        <f t="shared" si="17"/>
        <v>271</v>
      </c>
      <c r="C276" s="3" t="str">
        <f t="shared" si="15"/>
        <v>0x043C</v>
      </c>
      <c r="D276" s="3" t="str">
        <f t="shared" si="16"/>
        <v>DCU 88 SCLK Delay register</v>
      </c>
      <c r="E276" s="3" t="s">
        <v>15</v>
      </c>
    </row>
    <row r="277" spans="2:5" x14ac:dyDescent="0.25">
      <c r="B277" s="10">
        <f t="shared" si="17"/>
        <v>272</v>
      </c>
      <c r="C277" s="3" t="str">
        <f t="shared" si="15"/>
        <v>0x0440</v>
      </c>
      <c r="D277" s="3" t="str">
        <f t="shared" si="16"/>
        <v>DCU 89 SCLK Delay register</v>
      </c>
      <c r="E277" s="3" t="s">
        <v>15</v>
      </c>
    </row>
    <row r="278" spans="2:5" x14ac:dyDescent="0.25">
      <c r="B278" s="10">
        <f t="shared" si="17"/>
        <v>273</v>
      </c>
      <c r="C278" s="3" t="str">
        <f t="shared" si="15"/>
        <v>0x0444</v>
      </c>
      <c r="D278" s="3" t="str">
        <f t="shared" si="16"/>
        <v>DCU 90 SCLK Delay register</v>
      </c>
      <c r="E278" s="3" t="s">
        <v>15</v>
      </c>
    </row>
    <row r="279" spans="2:5" x14ac:dyDescent="0.25">
      <c r="B279" s="10">
        <f t="shared" si="17"/>
        <v>274</v>
      </c>
      <c r="C279" s="3" t="str">
        <f t="shared" si="15"/>
        <v>0x0448</v>
      </c>
      <c r="D279" s="3" t="str">
        <f t="shared" si="16"/>
        <v>DCU 91 SCLK Delay register</v>
      </c>
      <c r="E279" s="3" t="s">
        <v>15</v>
      </c>
    </row>
    <row r="280" spans="2:5" x14ac:dyDescent="0.25">
      <c r="B280" s="10">
        <f t="shared" si="17"/>
        <v>275</v>
      </c>
      <c r="C280" s="3" t="str">
        <f t="shared" si="15"/>
        <v>0x044C</v>
      </c>
      <c r="D280" s="3" t="str">
        <f t="shared" si="16"/>
        <v>DCU 92 SCLK Delay register</v>
      </c>
      <c r="E280" s="3" t="s">
        <v>15</v>
      </c>
    </row>
    <row r="281" spans="2:5" x14ac:dyDescent="0.25">
      <c r="B281" s="10">
        <f t="shared" si="17"/>
        <v>276</v>
      </c>
      <c r="C281" s="3" t="str">
        <f t="shared" si="15"/>
        <v>0x0450</v>
      </c>
      <c r="D281" s="3" t="str">
        <f t="shared" si="16"/>
        <v>DCU 93 SCLK Delay register</v>
      </c>
      <c r="E281" s="3" t="s">
        <v>15</v>
      </c>
    </row>
    <row r="282" spans="2:5" x14ac:dyDescent="0.25">
      <c r="B282" s="10">
        <f t="shared" si="17"/>
        <v>277</v>
      </c>
      <c r="C282" s="3" t="str">
        <f t="shared" si="15"/>
        <v>0x0454</v>
      </c>
      <c r="D282" s="3" t="str">
        <f t="shared" si="16"/>
        <v>DCU 94 SCLK Delay register</v>
      </c>
      <c r="E282" s="3" t="s">
        <v>15</v>
      </c>
    </row>
    <row r="283" spans="2:5" x14ac:dyDescent="0.25">
      <c r="B283" s="10">
        <f t="shared" si="17"/>
        <v>278</v>
      </c>
      <c r="C283" s="3" t="str">
        <f t="shared" si="15"/>
        <v>0x0458</v>
      </c>
      <c r="D283" s="3" t="str">
        <f t="shared" si="16"/>
        <v>DCU 95 SCLK Delay register</v>
      </c>
      <c r="E283" s="3" t="s">
        <v>15</v>
      </c>
    </row>
    <row r="284" spans="2:5" x14ac:dyDescent="0.25">
      <c r="B284" s="10">
        <f t="shared" si="17"/>
        <v>279</v>
      </c>
      <c r="C284" s="3" t="str">
        <f t="shared" si="15"/>
        <v>0x045C</v>
      </c>
      <c r="D284" s="3" t="str">
        <f t="shared" si="16"/>
        <v>DCU 96 SCLK Delay register</v>
      </c>
      <c r="E284" s="3" t="s">
        <v>15</v>
      </c>
    </row>
    <row r="285" spans="2:5" x14ac:dyDescent="0.25">
      <c r="B285" s="10">
        <f t="shared" si="17"/>
        <v>280</v>
      </c>
      <c r="C285" s="3" t="str">
        <f t="shared" si="15"/>
        <v>0x0460</v>
      </c>
      <c r="D285" s="3" t="str">
        <f t="shared" si="16"/>
        <v>DCU 97 SCLK Delay register</v>
      </c>
      <c r="E285" s="3" t="s">
        <v>15</v>
      </c>
    </row>
    <row r="286" spans="2:5" x14ac:dyDescent="0.25">
      <c r="B286" s="10">
        <f t="shared" si="17"/>
        <v>281</v>
      </c>
      <c r="C286" s="3" t="str">
        <f t="shared" si="15"/>
        <v>0x0464</v>
      </c>
      <c r="D286" s="3" t="str">
        <f t="shared" si="16"/>
        <v>DCU 98 SCLK Delay register</v>
      </c>
      <c r="E286" s="3" t="s">
        <v>15</v>
      </c>
    </row>
    <row r="287" spans="2:5" x14ac:dyDescent="0.25">
      <c r="B287" s="10">
        <f t="shared" si="17"/>
        <v>282</v>
      </c>
      <c r="C287" s="3" t="str">
        <f t="shared" si="15"/>
        <v>0x0468</v>
      </c>
      <c r="D287" s="3" t="str">
        <f t="shared" si="16"/>
        <v>DCU 99 SCLK Delay register</v>
      </c>
      <c r="E287" s="3" t="s">
        <v>15</v>
      </c>
    </row>
    <row r="288" spans="2:5" x14ac:dyDescent="0.25">
      <c r="B288" s="10">
        <f t="shared" si="17"/>
        <v>283</v>
      </c>
      <c r="C288" s="3" t="str">
        <f t="shared" si="15"/>
        <v>0x046C</v>
      </c>
      <c r="D288" s="3" t="str">
        <f t="shared" si="16"/>
        <v>DCU 100 SCLK Delay register</v>
      </c>
      <c r="E288" s="3" t="s">
        <v>15</v>
      </c>
    </row>
    <row r="289" spans="2:5" x14ac:dyDescent="0.25">
      <c r="B289" s="10">
        <f t="shared" si="17"/>
        <v>284</v>
      </c>
      <c r="C289" s="3" t="str">
        <f t="shared" si="15"/>
        <v>0x0470</v>
      </c>
      <c r="D289" s="3" t="str">
        <f t="shared" si="16"/>
        <v>DCU 101 SCLK Delay register</v>
      </c>
      <c r="E289" s="3" t="s">
        <v>15</v>
      </c>
    </row>
    <row r="290" spans="2:5" x14ac:dyDescent="0.25">
      <c r="B290" s="10">
        <f t="shared" si="17"/>
        <v>285</v>
      </c>
      <c r="C290" s="3" t="str">
        <f t="shared" si="15"/>
        <v>0x0474</v>
      </c>
      <c r="D290" s="3" t="str">
        <f t="shared" si="16"/>
        <v>DCU 102 SCLK Delay register</v>
      </c>
      <c r="E290" s="3" t="s">
        <v>15</v>
      </c>
    </row>
    <row r="291" spans="2:5" x14ac:dyDescent="0.25">
      <c r="B291" s="10">
        <f t="shared" si="17"/>
        <v>286</v>
      </c>
      <c r="C291" s="3" t="str">
        <f t="shared" si="15"/>
        <v>0x0478</v>
      </c>
      <c r="D291" s="3" t="str">
        <f t="shared" si="16"/>
        <v>DCU 103 SCLK Delay register</v>
      </c>
      <c r="E291" s="3" t="s">
        <v>15</v>
      </c>
    </row>
    <row r="292" spans="2:5" x14ac:dyDescent="0.25">
      <c r="B292" s="10">
        <f t="shared" si="17"/>
        <v>287</v>
      </c>
      <c r="C292" s="3" t="str">
        <f t="shared" si="15"/>
        <v>0x047C</v>
      </c>
      <c r="D292" s="3" t="str">
        <f t="shared" si="16"/>
        <v>DCU 104 SCLK Delay register</v>
      </c>
      <c r="E292" s="3" t="s">
        <v>15</v>
      </c>
    </row>
    <row r="293" spans="2:5" x14ac:dyDescent="0.25">
      <c r="B293" s="10">
        <f t="shared" si="17"/>
        <v>288</v>
      </c>
      <c r="C293" s="3" t="str">
        <f t="shared" si="15"/>
        <v>0x0480</v>
      </c>
      <c r="D293" s="3" t="str">
        <f t="shared" si="16"/>
        <v>DCU 105 SCLK Delay register</v>
      </c>
      <c r="E293" s="3" t="s">
        <v>15</v>
      </c>
    </row>
    <row r="294" spans="2:5" x14ac:dyDescent="0.25">
      <c r="B294" s="10">
        <f t="shared" si="17"/>
        <v>289</v>
      </c>
      <c r="C294" s="3" t="str">
        <f t="shared" si="15"/>
        <v>0x0484</v>
      </c>
      <c r="D294" s="3" t="str">
        <f t="shared" si="16"/>
        <v>DCU 106 SCLK Delay register</v>
      </c>
      <c r="E294" s="3" t="s">
        <v>15</v>
      </c>
    </row>
    <row r="295" spans="2:5" x14ac:dyDescent="0.25">
      <c r="B295" s="10">
        <f t="shared" si="17"/>
        <v>290</v>
      </c>
      <c r="C295" s="3" t="str">
        <f t="shared" si="15"/>
        <v>0x0488</v>
      </c>
      <c r="D295" s="3" t="str">
        <f t="shared" si="16"/>
        <v>DCU 107 SCLK Delay register</v>
      </c>
      <c r="E295" s="3" t="s">
        <v>15</v>
      </c>
    </row>
    <row r="296" spans="2:5" x14ac:dyDescent="0.25">
      <c r="B296" s="10">
        <f t="shared" si="17"/>
        <v>291</v>
      </c>
      <c r="C296" s="3" t="str">
        <f t="shared" si="15"/>
        <v>0x048C</v>
      </c>
      <c r="D296" s="3" t="str">
        <f t="shared" si="16"/>
        <v>DCU 108 SCLK Delay register</v>
      </c>
      <c r="E296" s="3" t="s">
        <v>15</v>
      </c>
    </row>
    <row r="297" spans="2:5" x14ac:dyDescent="0.25">
      <c r="B297" s="10">
        <f t="shared" si="17"/>
        <v>292</v>
      </c>
      <c r="C297" s="3" t="str">
        <f t="shared" si="15"/>
        <v>0x0490</v>
      </c>
      <c r="D297" s="3" t="str">
        <f t="shared" si="16"/>
        <v>DCU 109 SCLK Delay register</v>
      </c>
      <c r="E297" s="3" t="s">
        <v>15</v>
      </c>
    </row>
    <row r="298" spans="2:5" x14ac:dyDescent="0.25">
      <c r="B298" s="10">
        <f t="shared" si="17"/>
        <v>293</v>
      </c>
      <c r="C298" s="3" t="str">
        <f t="shared" si="15"/>
        <v>0x0494</v>
      </c>
      <c r="D298" s="3" t="str">
        <f t="shared" si="16"/>
        <v>DCU 110 SCLK Delay register</v>
      </c>
      <c r="E298" s="3" t="s">
        <v>15</v>
      </c>
    </row>
    <row r="299" spans="2:5" x14ac:dyDescent="0.25">
      <c r="B299" s="10">
        <f t="shared" si="17"/>
        <v>294</v>
      </c>
      <c r="C299" s="3" t="str">
        <f t="shared" si="15"/>
        <v>0x0498</v>
      </c>
      <c r="D299" s="3" t="str">
        <f t="shared" si="16"/>
        <v>DCU 111 SCLK Delay register</v>
      </c>
      <c r="E299" s="3" t="s">
        <v>15</v>
      </c>
    </row>
    <row r="300" spans="2:5" x14ac:dyDescent="0.25">
      <c r="B300" s="10">
        <f t="shared" si="17"/>
        <v>295</v>
      </c>
      <c r="C300" s="3" t="str">
        <f t="shared" si="15"/>
        <v>0x049C</v>
      </c>
      <c r="D300" s="3" t="str">
        <f t="shared" si="16"/>
        <v>DCU 112 SCLK Delay register</v>
      </c>
      <c r="E300" s="3" t="s">
        <v>15</v>
      </c>
    </row>
    <row r="301" spans="2:5" x14ac:dyDescent="0.25">
      <c r="B301" s="10">
        <f t="shared" si="17"/>
        <v>296</v>
      </c>
      <c r="C301" s="3" t="str">
        <f t="shared" si="15"/>
        <v>0x04A0</v>
      </c>
      <c r="D301" s="3" t="str">
        <f t="shared" si="16"/>
        <v>DCU 113 SCLK Delay register</v>
      </c>
      <c r="E301" s="3" t="s">
        <v>15</v>
      </c>
    </row>
    <row r="302" spans="2:5" x14ac:dyDescent="0.25">
      <c r="B302" s="10">
        <f t="shared" si="17"/>
        <v>297</v>
      </c>
      <c r="C302" s="3" t="str">
        <f t="shared" si="15"/>
        <v>0x04A4</v>
      </c>
      <c r="D302" s="3" t="str">
        <f t="shared" si="16"/>
        <v>DCU 114 SCLK Delay register</v>
      </c>
      <c r="E302" s="3" t="s">
        <v>15</v>
      </c>
    </row>
    <row r="303" spans="2:5" x14ac:dyDescent="0.25">
      <c r="B303" s="10">
        <f t="shared" si="17"/>
        <v>298</v>
      </c>
      <c r="C303" s="3" t="str">
        <f t="shared" si="15"/>
        <v>0x04A8</v>
      </c>
      <c r="D303" s="3" t="str">
        <f t="shared" si="16"/>
        <v>DCU 115 SCLK Delay register</v>
      </c>
      <c r="E303" s="3" t="s">
        <v>15</v>
      </c>
    </row>
    <row r="304" spans="2:5" x14ac:dyDescent="0.25">
      <c r="B304" s="10">
        <f t="shared" si="17"/>
        <v>299</v>
      </c>
      <c r="C304" s="3" t="str">
        <f t="shared" si="15"/>
        <v>0x04AC</v>
      </c>
      <c r="D304" s="3" t="str">
        <f t="shared" si="16"/>
        <v>DCU 116 SCLK Delay register</v>
      </c>
      <c r="E304" s="3" t="s">
        <v>15</v>
      </c>
    </row>
    <row r="305" spans="2:5" x14ac:dyDescent="0.25">
      <c r="B305" s="10">
        <f t="shared" si="17"/>
        <v>300</v>
      </c>
      <c r="C305" s="3" t="str">
        <f t="shared" si="15"/>
        <v>0x04B0</v>
      </c>
      <c r="D305" s="3" t="str">
        <f t="shared" si="16"/>
        <v>DCU 117 SCLK Delay register</v>
      </c>
      <c r="E305" s="3" t="s">
        <v>15</v>
      </c>
    </row>
    <row r="306" spans="2:5" x14ac:dyDescent="0.25">
      <c r="B306" s="10">
        <f t="shared" si="17"/>
        <v>301</v>
      </c>
      <c r="C306" s="3" t="str">
        <f t="shared" si="15"/>
        <v>0x04B4</v>
      </c>
      <c r="D306" s="3" t="str">
        <f t="shared" si="16"/>
        <v>DCU 118 SCLK Delay register</v>
      </c>
      <c r="E306" s="3" t="s">
        <v>15</v>
      </c>
    </row>
    <row r="307" spans="2:5" x14ac:dyDescent="0.25">
      <c r="B307" s="10">
        <f t="shared" si="17"/>
        <v>302</v>
      </c>
      <c r="C307" s="3" t="str">
        <f t="shared" si="15"/>
        <v>0x04B8</v>
      </c>
      <c r="D307" s="3" t="str">
        <f t="shared" si="16"/>
        <v>DCU 119 SCLK Delay register</v>
      </c>
      <c r="E307" s="3" t="s">
        <v>15</v>
      </c>
    </row>
    <row r="308" spans="2:5" x14ac:dyDescent="0.25">
      <c r="B308" s="10">
        <f t="shared" si="17"/>
        <v>303</v>
      </c>
      <c r="C308" s="3" t="str">
        <f t="shared" si="15"/>
        <v>0x04BC</v>
      </c>
      <c r="D308" s="3" t="str">
        <f t="shared" si="16"/>
        <v>DCU 120 SCLK Delay register</v>
      </c>
      <c r="E308" s="3" t="s">
        <v>15</v>
      </c>
    </row>
    <row r="309" spans="2:5" x14ac:dyDescent="0.25">
      <c r="B309" s="10">
        <f t="shared" si="17"/>
        <v>304</v>
      </c>
      <c r="C309" s="3" t="str">
        <f t="shared" si="15"/>
        <v>0x04C0</v>
      </c>
      <c r="D309" s="3" t="str">
        <f t="shared" si="16"/>
        <v>DCU 121 SCLK Delay register</v>
      </c>
      <c r="E309" s="3" t="s">
        <v>15</v>
      </c>
    </row>
    <row r="310" spans="2:5" x14ac:dyDescent="0.25">
      <c r="B310" s="10">
        <f t="shared" si="17"/>
        <v>305</v>
      </c>
      <c r="C310" s="3" t="str">
        <f t="shared" si="15"/>
        <v>0x04C4</v>
      </c>
      <c r="D310" s="3" t="str">
        <f t="shared" si="16"/>
        <v>DCU 122 SCLK Delay register</v>
      </c>
      <c r="E310" s="3" t="s">
        <v>15</v>
      </c>
    </row>
    <row r="311" spans="2:5" x14ac:dyDescent="0.25">
      <c r="B311" s="10">
        <f t="shared" si="17"/>
        <v>306</v>
      </c>
      <c r="C311" s="3" t="str">
        <f t="shared" si="15"/>
        <v>0x04C8</v>
      </c>
      <c r="D311" s="3" t="str">
        <f t="shared" si="16"/>
        <v>DCU 123 SCLK Delay register</v>
      </c>
      <c r="E311" s="3" t="s">
        <v>15</v>
      </c>
    </row>
    <row r="312" spans="2:5" x14ac:dyDescent="0.25">
      <c r="B312" s="10">
        <f t="shared" si="17"/>
        <v>307</v>
      </c>
      <c r="C312" s="3" t="str">
        <f t="shared" si="15"/>
        <v>0x04CC</v>
      </c>
      <c r="D312" s="3" t="str">
        <f t="shared" si="16"/>
        <v>DCU 124 SCLK Delay register</v>
      </c>
      <c r="E312" s="3" t="s">
        <v>15</v>
      </c>
    </row>
    <row r="313" spans="2:5" x14ac:dyDescent="0.25">
      <c r="B313" s="10">
        <f t="shared" si="17"/>
        <v>308</v>
      </c>
      <c r="C313" s="3" t="str">
        <f t="shared" si="15"/>
        <v>0x04D0</v>
      </c>
      <c r="D313" s="3" t="str">
        <f t="shared" si="16"/>
        <v>DCU 125 SCLK Delay register</v>
      </c>
      <c r="E313" s="3" t="s">
        <v>15</v>
      </c>
    </row>
    <row r="314" spans="2:5" x14ac:dyDescent="0.25">
      <c r="B314" s="10">
        <f t="shared" si="17"/>
        <v>309</v>
      </c>
      <c r="C314" s="3" t="str">
        <f t="shared" si="15"/>
        <v>0x04D4</v>
      </c>
      <c r="D314" s="3" t="str">
        <f t="shared" si="16"/>
        <v>DCU 126 SCLK Delay register</v>
      </c>
      <c r="E314" s="3" t="s">
        <v>15</v>
      </c>
    </row>
    <row r="315" spans="2:5" x14ac:dyDescent="0.25">
      <c r="B315" s="10">
        <f t="shared" si="17"/>
        <v>310</v>
      </c>
      <c r="C315" s="3" t="str">
        <f t="shared" si="15"/>
        <v>0x04D8</v>
      </c>
      <c r="D315" s="3" t="str">
        <f t="shared" si="16"/>
        <v>DCU 127 SCLK Delay register</v>
      </c>
      <c r="E315" s="3" t="s">
        <v>15</v>
      </c>
    </row>
    <row r="316" spans="2:5" x14ac:dyDescent="0.25">
      <c r="B316" s="10">
        <f t="shared" si="17"/>
        <v>311</v>
      </c>
      <c r="C316" s="3" t="str">
        <f t="shared" si="15"/>
        <v>0x04DC</v>
      </c>
      <c r="D316" s="3" t="str">
        <f t="shared" si="16"/>
        <v>DCU 128 SCLK Delay register</v>
      </c>
      <c r="E316" s="3" t="s">
        <v>15</v>
      </c>
    </row>
    <row r="317" spans="2:5" x14ac:dyDescent="0.25">
      <c r="B317" s="10">
        <f t="shared" si="17"/>
        <v>312</v>
      </c>
      <c r="C317" s="3" t="str">
        <f t="shared" ref="C317:C340" si="18">"0x"&amp;DEC2HEX((B317)*4,4)</f>
        <v>0x04E0</v>
      </c>
      <c r="D317" s="3" t="str">
        <f t="shared" si="16"/>
        <v>DCU 129 SCLK Delay register</v>
      </c>
      <c r="E317" s="3" t="s">
        <v>15</v>
      </c>
    </row>
    <row r="318" spans="2:5" x14ac:dyDescent="0.25">
      <c r="B318" s="10">
        <f t="shared" si="17"/>
        <v>313</v>
      </c>
      <c r="C318" s="3" t="str">
        <f t="shared" si="18"/>
        <v>0x04E4</v>
      </c>
      <c r="D318" s="3" t="str">
        <f t="shared" ref="D318:D340" si="19" xml:space="preserve"> "DCU "&amp;B318-$B$187&amp;" SCLK Delay register"</f>
        <v>DCU 130 SCLK Delay register</v>
      </c>
      <c r="E318" s="3" t="s">
        <v>15</v>
      </c>
    </row>
    <row r="319" spans="2:5" x14ac:dyDescent="0.25">
      <c r="B319" s="10">
        <f t="shared" ref="B319:B340" si="20">1+B318</f>
        <v>314</v>
      </c>
      <c r="C319" s="3" t="str">
        <f t="shared" si="18"/>
        <v>0x04E8</v>
      </c>
      <c r="D319" s="3" t="str">
        <f t="shared" si="19"/>
        <v>DCU 131 SCLK Delay register</v>
      </c>
      <c r="E319" s="3" t="s">
        <v>15</v>
      </c>
    </row>
    <row r="320" spans="2:5" x14ac:dyDescent="0.25">
      <c r="B320" s="10">
        <f t="shared" si="20"/>
        <v>315</v>
      </c>
      <c r="C320" s="3" t="str">
        <f t="shared" si="18"/>
        <v>0x04EC</v>
      </c>
      <c r="D320" s="3" t="str">
        <f t="shared" si="19"/>
        <v>DCU 132 SCLK Delay register</v>
      </c>
      <c r="E320" s="3" t="s">
        <v>15</v>
      </c>
    </row>
    <row r="321" spans="2:5" x14ac:dyDescent="0.25">
      <c r="B321" s="10">
        <f t="shared" si="20"/>
        <v>316</v>
      </c>
      <c r="C321" s="3" t="str">
        <f t="shared" si="18"/>
        <v>0x04F0</v>
      </c>
      <c r="D321" s="3" t="str">
        <f t="shared" si="19"/>
        <v>DCU 133 SCLK Delay register</v>
      </c>
      <c r="E321" s="3" t="s">
        <v>15</v>
      </c>
    </row>
    <row r="322" spans="2:5" x14ac:dyDescent="0.25">
      <c r="B322" s="10">
        <f t="shared" si="20"/>
        <v>317</v>
      </c>
      <c r="C322" s="3" t="str">
        <f t="shared" si="18"/>
        <v>0x04F4</v>
      </c>
      <c r="D322" s="3" t="str">
        <f t="shared" si="19"/>
        <v>DCU 134 SCLK Delay register</v>
      </c>
      <c r="E322" s="3" t="s">
        <v>15</v>
      </c>
    </row>
    <row r="323" spans="2:5" x14ac:dyDescent="0.25">
      <c r="B323" s="10">
        <f t="shared" si="20"/>
        <v>318</v>
      </c>
      <c r="C323" s="3" t="str">
        <f t="shared" si="18"/>
        <v>0x04F8</v>
      </c>
      <c r="D323" s="3" t="str">
        <f t="shared" si="19"/>
        <v>DCU 135 SCLK Delay register</v>
      </c>
      <c r="E323" s="3" t="s">
        <v>15</v>
      </c>
    </row>
    <row r="324" spans="2:5" x14ac:dyDescent="0.25">
      <c r="B324" s="10">
        <f t="shared" si="20"/>
        <v>319</v>
      </c>
      <c r="C324" s="3" t="str">
        <f t="shared" si="18"/>
        <v>0x04FC</v>
      </c>
      <c r="D324" s="3" t="str">
        <f t="shared" si="19"/>
        <v>DCU 136 SCLK Delay register</v>
      </c>
      <c r="E324" s="3" t="s">
        <v>15</v>
      </c>
    </row>
    <row r="325" spans="2:5" x14ac:dyDescent="0.25">
      <c r="B325" s="10">
        <f t="shared" si="20"/>
        <v>320</v>
      </c>
      <c r="C325" s="3" t="str">
        <f t="shared" si="18"/>
        <v>0x0500</v>
      </c>
      <c r="D325" s="3" t="str">
        <f t="shared" si="19"/>
        <v>DCU 137 SCLK Delay register</v>
      </c>
      <c r="E325" s="3" t="s">
        <v>15</v>
      </c>
    </row>
    <row r="326" spans="2:5" x14ac:dyDescent="0.25">
      <c r="B326" s="10">
        <f t="shared" si="20"/>
        <v>321</v>
      </c>
      <c r="C326" s="3" t="str">
        <f t="shared" si="18"/>
        <v>0x0504</v>
      </c>
      <c r="D326" s="3" t="str">
        <f t="shared" si="19"/>
        <v>DCU 138 SCLK Delay register</v>
      </c>
      <c r="E326" s="3" t="s">
        <v>15</v>
      </c>
    </row>
    <row r="327" spans="2:5" x14ac:dyDescent="0.25">
      <c r="B327" s="10">
        <f t="shared" si="20"/>
        <v>322</v>
      </c>
      <c r="C327" s="3" t="str">
        <f t="shared" si="18"/>
        <v>0x0508</v>
      </c>
      <c r="D327" s="3" t="str">
        <f t="shared" si="19"/>
        <v>DCU 139 SCLK Delay register</v>
      </c>
      <c r="E327" s="3" t="s">
        <v>15</v>
      </c>
    </row>
    <row r="328" spans="2:5" x14ac:dyDescent="0.25">
      <c r="B328" s="10">
        <f t="shared" si="20"/>
        <v>323</v>
      </c>
      <c r="C328" s="3" t="str">
        <f t="shared" si="18"/>
        <v>0x050C</v>
      </c>
      <c r="D328" s="3" t="str">
        <f t="shared" si="19"/>
        <v>DCU 140 SCLK Delay register</v>
      </c>
      <c r="E328" s="3" t="s">
        <v>15</v>
      </c>
    </row>
    <row r="329" spans="2:5" x14ac:dyDescent="0.25">
      <c r="B329" s="10">
        <f t="shared" si="20"/>
        <v>324</v>
      </c>
      <c r="C329" s="3" t="str">
        <f t="shared" si="18"/>
        <v>0x0510</v>
      </c>
      <c r="D329" s="3" t="str">
        <f t="shared" si="19"/>
        <v>DCU 141 SCLK Delay register</v>
      </c>
      <c r="E329" s="3" t="s">
        <v>15</v>
      </c>
    </row>
    <row r="330" spans="2:5" x14ac:dyDescent="0.25">
      <c r="B330" s="10">
        <f t="shared" si="20"/>
        <v>325</v>
      </c>
      <c r="C330" s="3" t="str">
        <f t="shared" si="18"/>
        <v>0x0514</v>
      </c>
      <c r="D330" s="3" t="str">
        <f t="shared" si="19"/>
        <v>DCU 142 SCLK Delay register</v>
      </c>
      <c r="E330" s="3" t="s">
        <v>15</v>
      </c>
    </row>
    <row r="331" spans="2:5" x14ac:dyDescent="0.25">
      <c r="B331" s="10">
        <f t="shared" si="20"/>
        <v>326</v>
      </c>
      <c r="C331" s="3" t="str">
        <f t="shared" si="18"/>
        <v>0x0518</v>
      </c>
      <c r="D331" s="3" t="str">
        <f t="shared" si="19"/>
        <v>DCU 143 SCLK Delay register</v>
      </c>
      <c r="E331" s="3" t="s">
        <v>15</v>
      </c>
    </row>
    <row r="332" spans="2:5" x14ac:dyDescent="0.25">
      <c r="B332" s="10">
        <f t="shared" si="20"/>
        <v>327</v>
      </c>
      <c r="C332" s="3" t="str">
        <f t="shared" si="18"/>
        <v>0x051C</v>
      </c>
      <c r="D332" s="3" t="str">
        <f t="shared" si="19"/>
        <v>DCU 144 SCLK Delay register</v>
      </c>
      <c r="E332" s="3" t="s">
        <v>15</v>
      </c>
    </row>
    <row r="333" spans="2:5" x14ac:dyDescent="0.25">
      <c r="B333" s="10">
        <f t="shared" si="20"/>
        <v>328</v>
      </c>
      <c r="C333" s="3" t="str">
        <f t="shared" si="18"/>
        <v>0x0520</v>
      </c>
      <c r="D333" s="3" t="str">
        <f t="shared" si="19"/>
        <v>DCU 145 SCLK Delay register</v>
      </c>
      <c r="E333" s="3" t="s">
        <v>15</v>
      </c>
    </row>
    <row r="334" spans="2:5" x14ac:dyDescent="0.25">
      <c r="B334" s="10">
        <f t="shared" si="20"/>
        <v>329</v>
      </c>
      <c r="C334" s="3" t="str">
        <f t="shared" si="18"/>
        <v>0x0524</v>
      </c>
      <c r="D334" s="3" t="str">
        <f t="shared" si="19"/>
        <v>DCU 146 SCLK Delay register</v>
      </c>
      <c r="E334" s="3" t="s">
        <v>15</v>
      </c>
    </row>
    <row r="335" spans="2:5" x14ac:dyDescent="0.25">
      <c r="B335" s="10">
        <f t="shared" si="20"/>
        <v>330</v>
      </c>
      <c r="C335" s="3" t="str">
        <f t="shared" si="18"/>
        <v>0x0528</v>
      </c>
      <c r="D335" s="3" t="str">
        <f t="shared" si="19"/>
        <v>DCU 147 SCLK Delay register</v>
      </c>
      <c r="E335" s="3" t="s">
        <v>15</v>
      </c>
    </row>
    <row r="336" spans="2:5" x14ac:dyDescent="0.25">
      <c r="B336" s="10">
        <f t="shared" si="20"/>
        <v>331</v>
      </c>
      <c r="C336" s="3" t="str">
        <f t="shared" si="18"/>
        <v>0x052C</v>
      </c>
      <c r="D336" s="3" t="str">
        <f t="shared" si="19"/>
        <v>DCU 148 SCLK Delay register</v>
      </c>
      <c r="E336" s="3" t="s">
        <v>15</v>
      </c>
    </row>
    <row r="337" spans="2:5" x14ac:dyDescent="0.25">
      <c r="B337" s="10">
        <f t="shared" si="20"/>
        <v>332</v>
      </c>
      <c r="C337" s="3" t="str">
        <f t="shared" si="18"/>
        <v>0x0530</v>
      </c>
      <c r="D337" s="3" t="str">
        <f t="shared" si="19"/>
        <v>DCU 149 SCLK Delay register</v>
      </c>
      <c r="E337" s="3" t="s">
        <v>15</v>
      </c>
    </row>
    <row r="338" spans="2:5" x14ac:dyDescent="0.25">
      <c r="B338" s="10">
        <f t="shared" si="20"/>
        <v>333</v>
      </c>
      <c r="C338" s="3" t="str">
        <f t="shared" si="18"/>
        <v>0x0534</v>
      </c>
      <c r="D338" s="3" t="str">
        <f t="shared" si="19"/>
        <v>DCU 150 SCLK Delay register</v>
      </c>
      <c r="E338" s="3" t="s">
        <v>15</v>
      </c>
    </row>
    <row r="339" spans="2:5" x14ac:dyDescent="0.25">
      <c r="B339" s="10">
        <f t="shared" si="20"/>
        <v>334</v>
      </c>
      <c r="C339" s="3" t="str">
        <f t="shared" si="18"/>
        <v>0x0538</v>
      </c>
      <c r="D339" s="3" t="str">
        <f t="shared" si="19"/>
        <v>DCU 151 SCLK Delay register</v>
      </c>
      <c r="E339" s="3" t="s">
        <v>15</v>
      </c>
    </row>
    <row r="340" spans="2:5" x14ac:dyDescent="0.2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election activeCell="B7" sqref="B7"/>
    </sheetView>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t="s">
        <v>199</v>
      </c>
    </row>
    <row r="8" spans="1:5" ht="1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18"/>
  <sheetViews>
    <sheetView workbookViewId="0"/>
  </sheetViews>
  <sheetFormatPr defaultRowHeight="15" x14ac:dyDescent="0.25"/>
  <cols>
    <col min="1" max="1" width="11.140625" style="1" customWidth="1"/>
    <col min="2" max="2" width="89.85546875" customWidth="1"/>
    <col min="3" max="3" width="11.5703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58</v>
      </c>
      <c r="C3" s="17" t="s">
        <v>14</v>
      </c>
      <c r="D3" s="18">
        <v>0</v>
      </c>
      <c r="E3" s="23">
        <v>3</v>
      </c>
    </row>
    <row r="4" spans="1:5" x14ac:dyDescent="0.25">
      <c r="A4" s="10" t="s">
        <v>207</v>
      </c>
      <c r="B4" s="19" t="s">
        <v>2</v>
      </c>
      <c r="C4" s="3"/>
      <c r="D4" s="10"/>
      <c r="E4" s="10"/>
    </row>
    <row r="5" spans="1:5" x14ac:dyDescent="0.25">
      <c r="A5" s="18">
        <v>6</v>
      </c>
      <c r="B5" s="45" t="s">
        <v>205</v>
      </c>
      <c r="C5" s="17" t="s">
        <v>14</v>
      </c>
      <c r="D5" s="18">
        <v>0</v>
      </c>
      <c r="E5" s="18">
        <v>4</v>
      </c>
    </row>
    <row r="6" spans="1:5" x14ac:dyDescent="0.25">
      <c r="A6" s="10">
        <v>5</v>
      </c>
      <c r="B6" s="3" t="s">
        <v>144</v>
      </c>
      <c r="C6" s="3" t="s">
        <v>14</v>
      </c>
      <c r="D6" s="10">
        <v>0</v>
      </c>
      <c r="E6" s="10">
        <v>1</v>
      </c>
    </row>
    <row r="7" spans="1:5" x14ac:dyDescent="0.25">
      <c r="A7" s="18">
        <v>4</v>
      </c>
      <c r="B7" s="17" t="s">
        <v>40</v>
      </c>
      <c r="C7" s="17" t="s">
        <v>14</v>
      </c>
      <c r="D7" s="18">
        <v>0</v>
      </c>
      <c r="E7" s="18">
        <v>2</v>
      </c>
    </row>
    <row r="8" spans="1:5" x14ac:dyDescent="0.25">
      <c r="A8" s="10">
        <v>3</v>
      </c>
      <c r="B8" s="3" t="s">
        <v>39</v>
      </c>
      <c r="C8" s="3" t="s">
        <v>14</v>
      </c>
      <c r="D8" s="10">
        <v>0</v>
      </c>
      <c r="E8" s="10">
        <v>2</v>
      </c>
    </row>
    <row r="9" spans="1:5" x14ac:dyDescent="0.25">
      <c r="A9" s="18">
        <v>2</v>
      </c>
      <c r="B9" s="17" t="s">
        <v>38</v>
      </c>
      <c r="C9" s="17" t="s">
        <v>14</v>
      </c>
      <c r="D9" s="18">
        <v>0</v>
      </c>
      <c r="E9" s="18">
        <v>2</v>
      </c>
    </row>
    <row r="10" spans="1:5" x14ac:dyDescent="0.25">
      <c r="A10" s="10">
        <v>1</v>
      </c>
      <c r="B10" s="3" t="s">
        <v>37</v>
      </c>
      <c r="C10" s="3" t="s">
        <v>14</v>
      </c>
      <c r="D10" s="10">
        <v>0</v>
      </c>
      <c r="E10" s="10">
        <v>1</v>
      </c>
    </row>
    <row r="11" spans="1:5" x14ac:dyDescent="0.25">
      <c r="A11" s="18">
        <v>0</v>
      </c>
      <c r="B11" s="17" t="s">
        <v>52</v>
      </c>
      <c r="C11" s="17" t="s">
        <v>14</v>
      </c>
      <c r="D11" s="18">
        <v>0</v>
      </c>
      <c r="E11" s="18"/>
    </row>
    <row r="13" spans="1:5" x14ac:dyDescent="0.25">
      <c r="B13" s="5" t="s">
        <v>7</v>
      </c>
    </row>
    <row r="14" spans="1:5" x14ac:dyDescent="0.25">
      <c r="B14" s="7"/>
    </row>
    <row r="15" spans="1:5" ht="75" x14ac:dyDescent="0.25">
      <c r="B15" s="7" t="s">
        <v>145</v>
      </c>
    </row>
    <row r="16" spans="1:5" ht="60" x14ac:dyDescent="0.25">
      <c r="B16" s="7" t="s">
        <v>147</v>
      </c>
    </row>
    <row r="17" spans="2:2" x14ac:dyDescent="0.25">
      <c r="B17" s="7" t="s">
        <v>146</v>
      </c>
    </row>
    <row r="18" spans="2:2" x14ac:dyDescent="0.25">
      <c r="B18" s="7" t="s">
        <v>206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31"/>
  <sheetViews>
    <sheetView workbookViewId="0"/>
  </sheetViews>
  <sheetFormatPr defaultRowHeight="15" x14ac:dyDescent="0.25"/>
  <cols>
    <col min="1" max="1" width="11.140625" style="1" customWidth="1"/>
    <col min="2" max="2" width="124.140625"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v>31</v>
      </c>
      <c r="B3" s="16" t="s">
        <v>41</v>
      </c>
      <c r="C3" s="17" t="s">
        <v>23</v>
      </c>
      <c r="D3" s="18">
        <v>0</v>
      </c>
      <c r="E3" s="18"/>
    </row>
    <row r="4" spans="1:5" ht="15" customHeight="1" x14ac:dyDescent="0.25">
      <c r="A4" s="24" t="s">
        <v>209</v>
      </c>
      <c r="B4" s="6" t="s">
        <v>2</v>
      </c>
      <c r="C4" s="3" t="s">
        <v>23</v>
      </c>
      <c r="D4" s="10">
        <v>0</v>
      </c>
      <c r="E4" s="10"/>
    </row>
    <row r="5" spans="1:5" ht="15" customHeight="1" x14ac:dyDescent="0.25">
      <c r="A5" s="15" t="s">
        <v>208</v>
      </c>
      <c r="B5" s="16" t="s">
        <v>29</v>
      </c>
      <c r="C5" s="17"/>
      <c r="D5" s="18"/>
      <c r="E5" s="18"/>
    </row>
    <row r="6" spans="1:5" ht="15" customHeight="1" x14ac:dyDescent="0.25">
      <c r="A6" s="47">
        <v>20</v>
      </c>
      <c r="B6" s="48" t="s">
        <v>200</v>
      </c>
      <c r="C6" s="3" t="s">
        <v>23</v>
      </c>
      <c r="D6" s="10">
        <v>0</v>
      </c>
      <c r="E6" s="10"/>
    </row>
    <row r="7" spans="1:5" ht="15" customHeight="1" x14ac:dyDescent="0.25">
      <c r="A7" s="15" t="s">
        <v>174</v>
      </c>
      <c r="B7" s="16" t="s">
        <v>29</v>
      </c>
      <c r="C7" s="17" t="s">
        <v>23</v>
      </c>
      <c r="D7" s="18">
        <v>0</v>
      </c>
      <c r="E7" s="18"/>
    </row>
    <row r="8" spans="1:5" ht="68.25" customHeight="1" x14ac:dyDescent="0.25">
      <c r="A8" s="24" t="s">
        <v>173</v>
      </c>
      <c r="B8" s="6" t="s">
        <v>175</v>
      </c>
      <c r="C8" s="3" t="s">
        <v>23</v>
      </c>
      <c r="D8" s="10" t="s">
        <v>97</v>
      </c>
      <c r="E8" s="10"/>
    </row>
    <row r="9" spans="1:5" ht="15" customHeight="1" x14ac:dyDescent="0.25">
      <c r="A9" s="15">
        <v>15</v>
      </c>
      <c r="B9" s="16" t="s">
        <v>29</v>
      </c>
      <c r="C9" s="17" t="s">
        <v>23</v>
      </c>
      <c r="D9" s="18">
        <v>0</v>
      </c>
      <c r="E9" s="18"/>
    </row>
    <row r="10" spans="1:5" ht="15" customHeight="1" x14ac:dyDescent="0.25">
      <c r="A10" s="24">
        <v>14</v>
      </c>
      <c r="B10" s="6" t="s">
        <v>197</v>
      </c>
      <c r="C10" s="3" t="s">
        <v>23</v>
      </c>
      <c r="D10" s="10">
        <v>0</v>
      </c>
      <c r="E10" s="10"/>
    </row>
    <row r="11" spans="1:5" ht="15" customHeight="1" x14ac:dyDescent="0.25">
      <c r="A11" s="15">
        <v>13</v>
      </c>
      <c r="B11" s="16" t="s">
        <v>196</v>
      </c>
      <c r="C11" s="17" t="s">
        <v>23</v>
      </c>
      <c r="D11" s="18">
        <v>0</v>
      </c>
      <c r="E11" s="18"/>
    </row>
    <row r="12" spans="1:5" ht="15" customHeight="1" x14ac:dyDescent="0.25">
      <c r="A12" s="24">
        <v>12</v>
      </c>
      <c r="B12" s="6" t="s">
        <v>160</v>
      </c>
      <c r="C12" s="3" t="s">
        <v>23</v>
      </c>
      <c r="D12" s="10">
        <v>0</v>
      </c>
      <c r="E12" s="10">
        <v>6</v>
      </c>
    </row>
    <row r="13" spans="1:5" ht="15" customHeight="1" x14ac:dyDescent="0.25">
      <c r="A13" s="15">
        <v>11</v>
      </c>
      <c r="B13" s="16" t="s">
        <v>29</v>
      </c>
      <c r="C13" s="17" t="s">
        <v>23</v>
      </c>
      <c r="D13" s="18">
        <v>0</v>
      </c>
      <c r="E13" s="18"/>
    </row>
    <row r="14" spans="1:5" ht="68.45" customHeight="1" x14ac:dyDescent="0.25">
      <c r="A14" s="24">
        <v>10.8</v>
      </c>
      <c r="B14" s="6" t="s">
        <v>177</v>
      </c>
      <c r="C14" s="3" t="s">
        <v>23</v>
      </c>
      <c r="D14" s="10" t="s">
        <v>97</v>
      </c>
      <c r="E14" s="10">
        <v>5</v>
      </c>
    </row>
    <row r="15" spans="1:5" ht="15" customHeight="1" x14ac:dyDescent="0.25">
      <c r="A15" s="15">
        <v>7</v>
      </c>
      <c r="B15" s="16" t="s">
        <v>29</v>
      </c>
      <c r="C15" s="17" t="s">
        <v>23</v>
      </c>
      <c r="D15" s="18">
        <v>0</v>
      </c>
      <c r="E15" s="18"/>
    </row>
    <row r="16" spans="1:5" ht="69" customHeight="1" x14ac:dyDescent="0.25">
      <c r="A16" s="24" t="s">
        <v>95</v>
      </c>
      <c r="B16" s="6" t="s">
        <v>99</v>
      </c>
      <c r="C16" s="3" t="s">
        <v>23</v>
      </c>
      <c r="D16" s="10" t="s">
        <v>98</v>
      </c>
      <c r="E16" s="10">
        <v>4</v>
      </c>
    </row>
    <row r="17" spans="1:5" ht="15" customHeight="1" x14ac:dyDescent="0.25">
      <c r="A17" s="15">
        <v>4</v>
      </c>
      <c r="B17" s="16" t="s">
        <v>92</v>
      </c>
      <c r="C17" s="17" t="s">
        <v>23</v>
      </c>
      <c r="D17" s="18">
        <v>1</v>
      </c>
      <c r="E17" s="18">
        <v>3</v>
      </c>
    </row>
    <row r="18" spans="1:5" ht="15" customHeight="1" x14ac:dyDescent="0.25">
      <c r="A18" s="24">
        <v>3</v>
      </c>
      <c r="B18" s="6" t="s">
        <v>57</v>
      </c>
      <c r="C18" s="3" t="s">
        <v>23</v>
      </c>
      <c r="D18" s="10">
        <v>0</v>
      </c>
      <c r="E18" s="10">
        <v>2</v>
      </c>
    </row>
    <row r="19" spans="1:5" ht="15" customHeight="1" x14ac:dyDescent="0.25">
      <c r="A19" s="15">
        <v>2</v>
      </c>
      <c r="B19" s="16" t="s">
        <v>56</v>
      </c>
      <c r="C19" s="17" t="s">
        <v>23</v>
      </c>
      <c r="D19" s="18">
        <v>0</v>
      </c>
      <c r="E19" s="18"/>
    </row>
    <row r="20" spans="1:5" ht="15" customHeight="1" x14ac:dyDescent="0.25">
      <c r="A20" s="24">
        <v>1</v>
      </c>
      <c r="B20" s="6" t="s">
        <v>93</v>
      </c>
      <c r="C20" s="3" t="s">
        <v>23</v>
      </c>
      <c r="D20" s="10">
        <v>0</v>
      </c>
      <c r="E20" s="10"/>
    </row>
    <row r="21" spans="1:5" ht="15" customHeight="1" x14ac:dyDescent="0.25">
      <c r="A21" s="15">
        <v>0</v>
      </c>
      <c r="B21" s="16" t="s">
        <v>94</v>
      </c>
      <c r="C21" s="17" t="s">
        <v>23</v>
      </c>
      <c r="D21" s="18">
        <v>0</v>
      </c>
      <c r="E21" s="18">
        <v>1</v>
      </c>
    </row>
    <row r="22" spans="1:5" ht="15" customHeight="1" x14ac:dyDescent="0.25">
      <c r="A22" s="25"/>
      <c r="B22" s="4"/>
      <c r="D22" s="22"/>
      <c r="E22" s="22"/>
    </row>
    <row r="24" spans="1:5" x14ac:dyDescent="0.25">
      <c r="B24" s="11" t="s">
        <v>7</v>
      </c>
    </row>
    <row r="25" spans="1:5" ht="43.5" x14ac:dyDescent="0.25">
      <c r="B25" s="30" t="s">
        <v>126</v>
      </c>
    </row>
    <row r="26" spans="1:5" ht="43.5" x14ac:dyDescent="0.25">
      <c r="B26" s="31" t="s">
        <v>109</v>
      </c>
    </row>
    <row r="27" spans="1:5" ht="44.25" x14ac:dyDescent="0.25">
      <c r="B27" s="29" t="s">
        <v>127</v>
      </c>
    </row>
    <row r="28" spans="1:5" ht="30" x14ac:dyDescent="0.25">
      <c r="B28" s="29" t="s">
        <v>128</v>
      </c>
    </row>
    <row r="29" spans="1:5" ht="72.75" x14ac:dyDescent="0.25">
      <c r="B29" s="29" t="s">
        <v>129</v>
      </c>
    </row>
    <row r="30" spans="1:5" x14ac:dyDescent="0.25">
      <c r="B30" s="29" t="s">
        <v>161</v>
      </c>
    </row>
    <row r="31" spans="1:5" x14ac:dyDescent="0.25">
      <c r="B31"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31</v>
      </c>
      <c r="B3" s="20" t="s">
        <v>91</v>
      </c>
      <c r="C3" s="17" t="s">
        <v>23</v>
      </c>
      <c r="D3" s="18"/>
      <c r="E3" s="18"/>
    </row>
    <row r="4" spans="1:5" x14ac:dyDescent="0.25">
      <c r="A4" s="10" t="s">
        <v>30</v>
      </c>
      <c r="B4" s="3" t="s">
        <v>90</v>
      </c>
      <c r="C4" s="3" t="s">
        <v>23</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31</v>
      </c>
      <c r="B3" s="20" t="s">
        <v>2</v>
      </c>
      <c r="C3" s="17" t="s">
        <v>19</v>
      </c>
      <c r="D3" s="18"/>
      <c r="E3" s="18"/>
    </row>
    <row r="4" spans="1:5" x14ac:dyDescent="0.25">
      <c r="A4" s="10" t="s">
        <v>30</v>
      </c>
      <c r="B4" s="3" t="s">
        <v>212</v>
      </c>
      <c r="C4" s="3" t="s">
        <v>14</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46</v>
      </c>
      <c r="B3" s="16" t="s">
        <v>2</v>
      </c>
      <c r="C3" s="17" t="s">
        <v>19</v>
      </c>
      <c r="D3" s="18">
        <v>0</v>
      </c>
      <c r="E3" s="18"/>
    </row>
    <row r="4" spans="1:5" x14ac:dyDescent="0.25">
      <c r="A4" s="24">
        <v>4</v>
      </c>
      <c r="B4" s="6" t="s">
        <v>47</v>
      </c>
      <c r="C4" s="3" t="s">
        <v>14</v>
      </c>
      <c r="D4" s="10"/>
      <c r="E4" s="10"/>
    </row>
    <row r="5" spans="1:5" x14ac:dyDescent="0.25">
      <c r="A5" s="15">
        <v>3</v>
      </c>
      <c r="B5" s="16" t="s">
        <v>48</v>
      </c>
      <c r="C5" s="17" t="s">
        <v>14</v>
      </c>
      <c r="D5" s="18"/>
      <c r="E5" s="18"/>
    </row>
    <row r="6" spans="1:5" x14ac:dyDescent="0.25">
      <c r="A6" s="24">
        <v>2</v>
      </c>
      <c r="B6" s="6" t="s">
        <v>49</v>
      </c>
      <c r="C6" s="3" t="s">
        <v>14</v>
      </c>
      <c r="D6" s="10"/>
      <c r="E6" s="10"/>
    </row>
    <row r="7" spans="1:5" x14ac:dyDescent="0.25">
      <c r="A7" s="15">
        <v>1</v>
      </c>
      <c r="B7" s="16" t="s">
        <v>50</v>
      </c>
      <c r="C7" s="17" t="s">
        <v>14</v>
      </c>
      <c r="D7" s="18">
        <v>0</v>
      </c>
      <c r="E7" s="18"/>
    </row>
    <row r="8" spans="1:5" x14ac:dyDescent="0.25">
      <c r="A8" s="24">
        <v>0</v>
      </c>
      <c r="B8" s="6" t="s">
        <v>51</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20"/>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79</v>
      </c>
      <c r="B3" s="16" t="s">
        <v>2</v>
      </c>
      <c r="C3" s="17" t="s">
        <v>19</v>
      </c>
      <c r="D3" s="18">
        <v>0</v>
      </c>
      <c r="E3" s="18"/>
    </row>
    <row r="4" spans="1:5" x14ac:dyDescent="0.25">
      <c r="A4" s="24">
        <v>11</v>
      </c>
      <c r="B4" s="6" t="s">
        <v>179</v>
      </c>
      <c r="C4" s="3" t="s">
        <v>14</v>
      </c>
      <c r="D4" s="10">
        <v>1</v>
      </c>
      <c r="E4" s="10">
        <v>4</v>
      </c>
    </row>
    <row r="5" spans="1:5" x14ac:dyDescent="0.25">
      <c r="A5" s="15">
        <v>10</v>
      </c>
      <c r="B5" s="16" t="s">
        <v>178</v>
      </c>
      <c r="C5" s="17" t="s">
        <v>14</v>
      </c>
      <c r="D5" s="18">
        <v>1</v>
      </c>
      <c r="E5" s="18">
        <v>3</v>
      </c>
    </row>
    <row r="6" spans="1:5" x14ac:dyDescent="0.25">
      <c r="A6" s="24">
        <v>9</v>
      </c>
      <c r="B6" s="6" t="s">
        <v>176</v>
      </c>
      <c r="C6" s="3" t="s">
        <v>14</v>
      </c>
      <c r="D6" s="10">
        <v>1</v>
      </c>
      <c r="E6" s="10">
        <v>2</v>
      </c>
    </row>
    <row r="7" spans="1:5" x14ac:dyDescent="0.25">
      <c r="A7" s="15">
        <v>8</v>
      </c>
      <c r="B7" s="16" t="s">
        <v>86</v>
      </c>
      <c r="C7" s="17" t="s">
        <v>14</v>
      </c>
      <c r="D7" s="18">
        <v>1</v>
      </c>
      <c r="E7" s="18">
        <v>1</v>
      </c>
    </row>
    <row r="8" spans="1:5" x14ac:dyDescent="0.25">
      <c r="A8" s="24" t="s">
        <v>78</v>
      </c>
      <c r="B8" s="6" t="s">
        <v>29</v>
      </c>
      <c r="C8" s="3" t="s">
        <v>14</v>
      </c>
      <c r="D8" s="10">
        <v>0</v>
      </c>
      <c r="E8" s="10"/>
    </row>
    <row r="9" spans="1:5" x14ac:dyDescent="0.25">
      <c r="A9" s="15">
        <v>5</v>
      </c>
      <c r="B9" s="16" t="s">
        <v>85</v>
      </c>
      <c r="C9" s="17" t="s">
        <v>14</v>
      </c>
      <c r="D9" s="18">
        <v>0</v>
      </c>
      <c r="E9" s="18"/>
    </row>
    <row r="10" spans="1:5" x14ac:dyDescent="0.25">
      <c r="A10" s="24">
        <v>4</v>
      </c>
      <c r="B10" s="6" t="s">
        <v>83</v>
      </c>
      <c r="C10" s="3" t="s">
        <v>14</v>
      </c>
      <c r="D10" s="10">
        <v>0</v>
      </c>
      <c r="E10" s="10"/>
    </row>
    <row r="11" spans="1:5" x14ac:dyDescent="0.25">
      <c r="A11" s="15">
        <v>3</v>
      </c>
      <c r="B11" s="16" t="s">
        <v>84</v>
      </c>
      <c r="C11" s="17" t="s">
        <v>14</v>
      </c>
      <c r="D11" s="18">
        <v>0</v>
      </c>
      <c r="E11" s="18"/>
    </row>
    <row r="12" spans="1:5" x14ac:dyDescent="0.25">
      <c r="A12" s="24">
        <v>2</v>
      </c>
      <c r="B12" s="6" t="s">
        <v>55</v>
      </c>
      <c r="C12" s="3" t="s">
        <v>14</v>
      </c>
      <c r="D12" s="10">
        <v>0</v>
      </c>
      <c r="E12" s="10"/>
    </row>
    <row r="13" spans="1:5" ht="65.45" customHeight="1" x14ac:dyDescent="0.25">
      <c r="A13" s="15" t="s">
        <v>54</v>
      </c>
      <c r="B13" s="16" t="s">
        <v>96</v>
      </c>
      <c r="C13" s="17" t="s">
        <v>14</v>
      </c>
      <c r="D13" s="18">
        <v>0</v>
      </c>
      <c r="E13" s="18"/>
    </row>
    <row r="14" spans="1:5" x14ac:dyDescent="0.25">
      <c r="A14" s="25"/>
      <c r="B14" s="4"/>
      <c r="D14" s="22"/>
      <c r="E14" s="22"/>
    </row>
    <row r="16" spans="1:5" x14ac:dyDescent="0.25">
      <c r="B16" s="11" t="s">
        <v>7</v>
      </c>
    </row>
    <row r="17" spans="2:2" ht="29.25" x14ac:dyDescent="0.25">
      <c r="B17" s="29" t="s">
        <v>180</v>
      </c>
    </row>
    <row r="18" spans="2:2" ht="43.5" x14ac:dyDescent="0.25">
      <c r="B18" s="29" t="s">
        <v>181</v>
      </c>
    </row>
    <row r="19" spans="2:2" ht="57.75" x14ac:dyDescent="0.25">
      <c r="B19" s="29" t="s">
        <v>182</v>
      </c>
    </row>
    <row r="20" spans="2:2" ht="29.25" x14ac:dyDescent="0.25">
      <c r="B20" s="29" t="s">
        <v>183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29"/>
  <sheetViews>
    <sheetView tabSelected="1" topLeftCell="A10" workbookViewId="0">
      <selection activeCell="A11" sqref="A11:E23"/>
    </sheetView>
  </sheetViews>
  <sheetFormatPr defaultRowHeight="15" x14ac:dyDescent="0.25"/>
  <cols>
    <col min="1" max="1" width="11.140625" style="1" customWidth="1"/>
    <col min="2" max="2" width="89.85546875" customWidth="1"/>
    <col min="3" max="3" width="13.42578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2</v>
      </c>
      <c r="C3" s="17" t="s">
        <v>19</v>
      </c>
      <c r="D3" s="18"/>
      <c r="E3" s="23"/>
    </row>
    <row r="4" spans="1:5" x14ac:dyDescent="0.25">
      <c r="A4" s="10">
        <v>30.23</v>
      </c>
      <c r="B4" s="3" t="s">
        <v>61</v>
      </c>
      <c r="C4" s="3" t="s">
        <v>23</v>
      </c>
      <c r="D4" s="10" t="s">
        <v>62</v>
      </c>
      <c r="E4" s="10"/>
    </row>
    <row r="5" spans="1:5" x14ac:dyDescent="0.25">
      <c r="A5" s="18">
        <v>22</v>
      </c>
      <c r="B5" s="17" t="s">
        <v>71</v>
      </c>
      <c r="C5" s="17" t="s">
        <v>23</v>
      </c>
      <c r="D5" s="18"/>
      <c r="E5" s="18"/>
    </row>
    <row r="6" spans="1:5" x14ac:dyDescent="0.25">
      <c r="A6" s="10">
        <v>21</v>
      </c>
      <c r="B6" s="3" t="s">
        <v>60</v>
      </c>
      <c r="C6" s="3" t="s">
        <v>23</v>
      </c>
      <c r="D6" s="10"/>
      <c r="E6" s="10"/>
    </row>
    <row r="7" spans="1:5" x14ac:dyDescent="0.25">
      <c r="A7" s="18">
        <v>20</v>
      </c>
      <c r="B7" s="17" t="s">
        <v>68</v>
      </c>
      <c r="C7" s="17" t="s">
        <v>23</v>
      </c>
      <c r="D7" s="18"/>
      <c r="E7" s="18"/>
    </row>
    <row r="8" spans="1:5" x14ac:dyDescent="0.25">
      <c r="A8" s="10">
        <v>19</v>
      </c>
      <c r="B8" s="3" t="s">
        <v>69</v>
      </c>
      <c r="C8" s="3" t="s">
        <v>23</v>
      </c>
      <c r="D8" s="10"/>
      <c r="E8" s="10"/>
    </row>
    <row r="9" spans="1:5" ht="75" x14ac:dyDescent="0.25">
      <c r="A9" s="18" t="s">
        <v>151</v>
      </c>
      <c r="B9" s="20" t="s">
        <v>155</v>
      </c>
      <c r="C9" s="17" t="s">
        <v>23</v>
      </c>
      <c r="D9" s="18"/>
      <c r="E9" s="18">
        <v>1</v>
      </c>
    </row>
    <row r="10" spans="1:5" ht="75" x14ac:dyDescent="0.25">
      <c r="A10" s="10" t="s">
        <v>152</v>
      </c>
      <c r="B10" s="19" t="s">
        <v>156</v>
      </c>
      <c r="C10" s="3" t="s">
        <v>23</v>
      </c>
      <c r="D10" s="10"/>
      <c r="E10" s="10">
        <v>1</v>
      </c>
    </row>
    <row r="11" spans="1:5" x14ac:dyDescent="0.25">
      <c r="A11" s="18">
        <v>14</v>
      </c>
      <c r="B11" s="45" t="s">
        <v>88</v>
      </c>
      <c r="C11" s="17"/>
      <c r="D11" s="18"/>
      <c r="E11" s="18">
        <v>1</v>
      </c>
    </row>
    <row r="12" spans="1:5" x14ac:dyDescent="0.25">
      <c r="A12" s="10">
        <v>13</v>
      </c>
      <c r="B12" s="53" t="s">
        <v>88</v>
      </c>
      <c r="C12" s="3" t="s">
        <v>23</v>
      </c>
      <c r="D12" s="10"/>
      <c r="E12" s="10"/>
    </row>
    <row r="13" spans="1:5" x14ac:dyDescent="0.25">
      <c r="A13" s="18">
        <v>12</v>
      </c>
      <c r="B13" s="53" t="s">
        <v>88</v>
      </c>
      <c r="C13" s="17" t="s">
        <v>23</v>
      </c>
      <c r="D13" s="18"/>
      <c r="E13" s="18"/>
    </row>
    <row r="14" spans="1:5" x14ac:dyDescent="0.25">
      <c r="A14" s="40">
        <v>11</v>
      </c>
      <c r="B14" s="54" t="s">
        <v>88</v>
      </c>
      <c r="C14" s="41" t="s">
        <v>23</v>
      </c>
      <c r="D14" s="40"/>
      <c r="E14" s="40"/>
    </row>
    <row r="15" spans="1:5" x14ac:dyDescent="0.25">
      <c r="A15" s="18">
        <v>10</v>
      </c>
      <c r="B15" s="17" t="s">
        <v>88</v>
      </c>
      <c r="C15" s="17" t="s">
        <v>23</v>
      </c>
      <c r="D15" s="18">
        <v>0</v>
      </c>
      <c r="E15" s="18"/>
    </row>
    <row r="16" spans="1:5" x14ac:dyDescent="0.25">
      <c r="A16" s="10">
        <v>9</v>
      </c>
      <c r="B16" s="3" t="s">
        <v>88</v>
      </c>
      <c r="C16" s="3" t="s">
        <v>23</v>
      </c>
      <c r="D16" s="10">
        <v>0</v>
      </c>
      <c r="E16" s="10"/>
    </row>
    <row r="17" spans="1:5" x14ac:dyDescent="0.25">
      <c r="A17" s="18">
        <v>8</v>
      </c>
      <c r="B17" s="17" t="s">
        <v>67</v>
      </c>
      <c r="C17" s="17" t="s">
        <v>23</v>
      </c>
      <c r="D17" s="18">
        <v>0</v>
      </c>
      <c r="E17" s="18"/>
    </row>
    <row r="18" spans="1:5" ht="75" x14ac:dyDescent="0.25">
      <c r="A18" s="10" t="s">
        <v>78</v>
      </c>
      <c r="B18" s="19" t="s">
        <v>213</v>
      </c>
      <c r="C18" s="3" t="s">
        <v>23</v>
      </c>
      <c r="D18" s="10">
        <v>0</v>
      </c>
      <c r="E18" s="10">
        <v>1</v>
      </c>
    </row>
    <row r="19" spans="1:5" ht="90" x14ac:dyDescent="0.25">
      <c r="A19" s="18" t="s">
        <v>148</v>
      </c>
      <c r="B19" s="20" t="s">
        <v>149</v>
      </c>
      <c r="C19" s="17" t="s">
        <v>23</v>
      </c>
      <c r="D19" s="18">
        <v>0</v>
      </c>
      <c r="E19" s="18">
        <v>1</v>
      </c>
    </row>
    <row r="20" spans="1:5" x14ac:dyDescent="0.25">
      <c r="A20" s="10">
        <v>3</v>
      </c>
      <c r="B20" s="45" t="s">
        <v>70</v>
      </c>
      <c r="C20" s="3" t="s">
        <v>23</v>
      </c>
      <c r="D20" s="10">
        <v>0</v>
      </c>
      <c r="E20" s="10">
        <v>1</v>
      </c>
    </row>
    <row r="21" spans="1:5" x14ac:dyDescent="0.25">
      <c r="A21" s="18">
        <v>2</v>
      </c>
      <c r="B21" s="53" t="s">
        <v>153</v>
      </c>
      <c r="C21" s="17" t="s">
        <v>23</v>
      </c>
      <c r="D21" s="18">
        <v>0</v>
      </c>
      <c r="E21" s="18">
        <v>1</v>
      </c>
    </row>
    <row r="22" spans="1:5" x14ac:dyDescent="0.25">
      <c r="A22" s="10">
        <v>1</v>
      </c>
      <c r="B22" s="53" t="s">
        <v>154</v>
      </c>
      <c r="C22" s="3" t="s">
        <v>23</v>
      </c>
      <c r="D22" s="10">
        <v>0</v>
      </c>
      <c r="E22" s="10"/>
    </row>
    <row r="23" spans="1:5" x14ac:dyDescent="0.25">
      <c r="A23" s="18">
        <v>0</v>
      </c>
      <c r="B23" s="54" t="s">
        <v>89</v>
      </c>
      <c r="C23" s="17" t="s">
        <v>23</v>
      </c>
      <c r="D23" s="18">
        <v>0</v>
      </c>
      <c r="E23" s="18"/>
    </row>
    <row r="25" spans="1:5" x14ac:dyDescent="0.25">
      <c r="B25" s="5" t="s">
        <v>7</v>
      </c>
    </row>
    <row r="26" spans="1:5" ht="30" x14ac:dyDescent="0.25">
      <c r="B26" s="7" t="s">
        <v>150</v>
      </c>
    </row>
    <row r="27" spans="1:5" ht="105" x14ac:dyDescent="0.25">
      <c r="B27" s="7" t="s">
        <v>157</v>
      </c>
    </row>
    <row r="28" spans="1:5" ht="105" x14ac:dyDescent="0.25">
      <c r="B28" s="7" t="s">
        <v>158</v>
      </c>
    </row>
    <row r="29" spans="1:5" ht="105" x14ac:dyDescent="0.25">
      <c r="B29" s="7" t="s">
        <v>159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8078-AA38-4329-AB98-1F4595D3CC35}">
  <dimension ref="A2:E10"/>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104</v>
      </c>
      <c r="B3" s="20" t="s">
        <v>2</v>
      </c>
      <c r="C3" s="17" t="s">
        <v>23</v>
      </c>
      <c r="D3" s="18"/>
      <c r="E3" s="18"/>
    </row>
    <row r="4" spans="1:5" x14ac:dyDescent="0.25">
      <c r="A4" s="10">
        <v>3</v>
      </c>
      <c r="B4" s="19" t="s">
        <v>103</v>
      </c>
      <c r="C4" s="3" t="s">
        <v>23</v>
      </c>
      <c r="D4" s="10">
        <v>0</v>
      </c>
      <c r="E4" s="10"/>
    </row>
    <row r="5" spans="1:5" x14ac:dyDescent="0.25">
      <c r="A5" s="18">
        <v>2</v>
      </c>
      <c r="B5" s="20" t="s">
        <v>103</v>
      </c>
      <c r="C5" s="17" t="s">
        <v>23</v>
      </c>
      <c r="D5" s="18">
        <v>0</v>
      </c>
      <c r="E5" s="18"/>
    </row>
    <row r="6" spans="1:5" x14ac:dyDescent="0.25">
      <c r="A6" s="10">
        <v>1</v>
      </c>
      <c r="B6" s="19" t="s">
        <v>102</v>
      </c>
      <c r="C6" s="3" t="s">
        <v>23</v>
      </c>
      <c r="D6" s="10">
        <v>0</v>
      </c>
      <c r="E6" s="10">
        <v>1</v>
      </c>
    </row>
    <row r="7" spans="1:5" x14ac:dyDescent="0.25">
      <c r="A7" s="18">
        <v>0</v>
      </c>
      <c r="B7" s="17" t="s">
        <v>105</v>
      </c>
      <c r="C7" s="17" t="s">
        <v>23</v>
      </c>
      <c r="D7" s="18">
        <v>0</v>
      </c>
      <c r="E7" s="18">
        <v>1</v>
      </c>
    </row>
    <row r="9" spans="1:5" x14ac:dyDescent="0.25">
      <c r="B9" s="8" t="s">
        <v>7</v>
      </c>
    </row>
    <row r="10" spans="1:5" ht="60" x14ac:dyDescent="0.25">
      <c r="B10" s="46" t="s">
        <v>198</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E5F9-0FE0-4733-8864-8E28311F0D4F}">
  <dimension ref="A2:E10"/>
  <sheetViews>
    <sheetView workbookViewId="0"/>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v>31</v>
      </c>
      <c r="B3" s="16" t="s">
        <v>170</v>
      </c>
      <c r="C3" s="17" t="s">
        <v>15</v>
      </c>
      <c r="D3" s="17">
        <v>0</v>
      </c>
      <c r="E3" s="18">
        <v>3</v>
      </c>
    </row>
    <row r="4" spans="1:5" x14ac:dyDescent="0.25">
      <c r="A4" s="24" t="s">
        <v>169</v>
      </c>
      <c r="B4" s="6" t="s">
        <v>166</v>
      </c>
      <c r="C4" s="3"/>
      <c r="D4" s="3"/>
      <c r="E4" s="10"/>
    </row>
    <row r="5" spans="1:5" x14ac:dyDescent="0.25">
      <c r="A5" s="18" t="s">
        <v>164</v>
      </c>
      <c r="B5" s="17" t="s">
        <v>165</v>
      </c>
      <c r="C5" s="17" t="s">
        <v>15</v>
      </c>
      <c r="D5" s="17" t="s">
        <v>62</v>
      </c>
      <c r="E5" s="18" t="s">
        <v>66</v>
      </c>
    </row>
    <row r="7" spans="1:5" x14ac:dyDescent="0.25">
      <c r="B7" s="5" t="s">
        <v>24</v>
      </c>
    </row>
    <row r="8" spans="1:5" ht="30" x14ac:dyDescent="0.25">
      <c r="B8" s="7" t="s">
        <v>167</v>
      </c>
    </row>
    <row r="9" spans="1:5" x14ac:dyDescent="0.25">
      <c r="B9" t="s">
        <v>168</v>
      </c>
    </row>
    <row r="10" spans="1:5" ht="30" x14ac:dyDescent="0.25">
      <c r="B10" s="7" t="s">
        <v>171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C3-3BC8-47BE-8B75-00B5952B36C1}">
  <dimension ref="A2:E22"/>
  <sheetViews>
    <sheetView workbookViewId="0"/>
  </sheetViews>
  <sheetFormatPr defaultRowHeight="15" x14ac:dyDescent="0.25"/>
  <cols>
    <col min="1" max="1" width="11.140625" style="1" customWidth="1"/>
    <col min="2" max="2" width="91.42578125" customWidth="1"/>
    <col min="3" max="3" width="15.5703125" customWidth="1"/>
    <col min="4" max="4" width="14.28515625" customWidth="1"/>
    <col min="5" max="5" width="11.42578125" customWidth="1"/>
  </cols>
  <sheetData>
    <row r="2" spans="1:5" x14ac:dyDescent="0.25">
      <c r="A2" s="14" t="s">
        <v>0</v>
      </c>
      <c r="B2" s="14" t="s">
        <v>1</v>
      </c>
      <c r="C2" s="14" t="s">
        <v>20</v>
      </c>
      <c r="D2" s="12" t="s">
        <v>21</v>
      </c>
      <c r="E2" s="12" t="s">
        <v>22</v>
      </c>
    </row>
    <row r="3" spans="1:5" x14ac:dyDescent="0.25">
      <c r="A3" s="18" t="s">
        <v>64</v>
      </c>
      <c r="B3" s="20" t="s">
        <v>2</v>
      </c>
      <c r="C3" s="17"/>
      <c r="D3" s="18"/>
      <c r="E3" s="18"/>
    </row>
    <row r="4" spans="1:5" x14ac:dyDescent="0.25">
      <c r="A4" s="10" t="s">
        <v>63</v>
      </c>
      <c r="B4" s="3" t="s">
        <v>107</v>
      </c>
      <c r="C4" s="3" t="s">
        <v>23</v>
      </c>
      <c r="D4" s="10">
        <v>0</v>
      </c>
      <c r="E4" s="3">
        <v>1</v>
      </c>
    </row>
    <row r="6" spans="1:5" x14ac:dyDescent="0.25">
      <c r="B6" s="8" t="s">
        <v>7</v>
      </c>
    </row>
    <row r="7" spans="1:5" ht="85.5" x14ac:dyDescent="0.25">
      <c r="B7" s="27" t="s">
        <v>195</v>
      </c>
    </row>
    <row r="8" spans="1:5" ht="49.5" customHeight="1" x14ac:dyDescent="0.25">
      <c r="B8" s="28" t="s">
        <v>194</v>
      </c>
    </row>
    <row r="9" spans="1:5" ht="15" customHeight="1" x14ac:dyDescent="0.25"/>
    <row r="10" spans="1:5" x14ac:dyDescent="0.25">
      <c r="B10" s="26" t="s">
        <v>188</v>
      </c>
      <c r="C10" s="1">
        <v>100</v>
      </c>
      <c r="D10" t="s">
        <v>108</v>
      </c>
    </row>
    <row r="11" spans="1:5" x14ac:dyDescent="0.25">
      <c r="B11" s="26" t="s">
        <v>120</v>
      </c>
      <c r="C11" s="1">
        <v>0.98357099999999997</v>
      </c>
      <c r="D11" t="s">
        <v>118</v>
      </c>
    </row>
    <row r="12" spans="1:5" x14ac:dyDescent="0.25">
      <c r="B12" s="26" t="s">
        <v>119</v>
      </c>
      <c r="C12" s="37">
        <f>0.64*C11</f>
        <v>0.62948543999999995</v>
      </c>
      <c r="D12" t="s">
        <v>118</v>
      </c>
    </row>
    <row r="13" spans="1:5" x14ac:dyDescent="0.25">
      <c r="B13" s="26"/>
    </row>
    <row r="14" spans="1:5" x14ac:dyDescent="0.25">
      <c r="C14" s="50" t="s">
        <v>115</v>
      </c>
      <c r="D14" s="50"/>
      <c r="E14" s="32"/>
    </row>
    <row r="15" spans="1:5" x14ac:dyDescent="0.25">
      <c r="C15" s="33" t="s">
        <v>116</v>
      </c>
      <c r="D15" s="34">
        <v>6</v>
      </c>
      <c r="E15" s="32" t="s">
        <v>117</v>
      </c>
    </row>
    <row r="16" spans="1:5" x14ac:dyDescent="0.25">
      <c r="C16" s="33" t="s">
        <v>114</v>
      </c>
      <c r="D16" s="38">
        <f>(D15/C12)</f>
        <v>9.5315945671436033</v>
      </c>
      <c r="E16" s="32" t="s">
        <v>113</v>
      </c>
    </row>
    <row r="18" spans="3:5" x14ac:dyDescent="0.25">
      <c r="C18" s="51" t="s">
        <v>193</v>
      </c>
      <c r="D18" s="51"/>
    </row>
    <row r="19" spans="3:5" x14ac:dyDescent="0.25">
      <c r="C19" s="3" t="s">
        <v>189</v>
      </c>
      <c r="D19" s="43">
        <f>D16</f>
        <v>9.5315945671436033</v>
      </c>
      <c r="E19" t="s">
        <v>113</v>
      </c>
    </row>
    <row r="20" spans="3:5" x14ac:dyDescent="0.25">
      <c r="C20" s="3" t="s">
        <v>190</v>
      </c>
      <c r="D20" s="3">
        <v>170</v>
      </c>
      <c r="E20" t="s">
        <v>113</v>
      </c>
    </row>
    <row r="21" spans="3:5" x14ac:dyDescent="0.25">
      <c r="C21" s="3" t="s">
        <v>191</v>
      </c>
      <c r="D21" s="43">
        <f>SUM(D19:D20)</f>
        <v>179.5315945671436</v>
      </c>
      <c r="E21" t="s">
        <v>113</v>
      </c>
    </row>
    <row r="22" spans="3:5" x14ac:dyDescent="0.25">
      <c r="C22" s="3" t="s">
        <v>192</v>
      </c>
      <c r="D22" s="44">
        <f>ROUND((D21*C10)/1000,0)</f>
        <v>18</v>
      </c>
      <c r="E22" t="str">
        <f>"0x"&amp;DEC2HEX(D22)</f>
        <v>0x12</v>
      </c>
    </row>
  </sheetData>
  <mergeCells count="2">
    <mergeCell ref="C14:D14"/>
    <mergeCell ref="C18:D18"/>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7"/>
  <sheetViews>
    <sheetView workbookViewId="0"/>
  </sheetViews>
  <sheetFormatPr defaultRowHeight="15" x14ac:dyDescent="0.25"/>
  <cols>
    <col min="1" max="1" width="11.140625" style="1" customWidth="1"/>
    <col min="2" max="2" width="92.5703125" customWidth="1"/>
    <col min="3" max="3" width="14.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25</v>
      </c>
      <c r="C4" s="3" t="s">
        <v>14</v>
      </c>
      <c r="D4" s="10" t="s">
        <v>19</v>
      </c>
      <c r="E4" s="10">
        <v>1</v>
      </c>
    </row>
    <row r="6" spans="1:5" x14ac:dyDescent="0.25">
      <c r="B6" s="8" t="s">
        <v>7</v>
      </c>
    </row>
    <row r="7" spans="1:5" ht="57.75" x14ac:dyDescent="0.25">
      <c r="B7" s="29" t="s">
        <v>130</v>
      </c>
    </row>
    <row r="8" spans="1:5" ht="39.75" customHeight="1" x14ac:dyDescent="0.25"/>
    <row r="9" spans="1:5" x14ac:dyDescent="0.25">
      <c r="B9" s="7" t="s">
        <v>26</v>
      </c>
    </row>
    <row r="10" spans="1:5" ht="36" customHeight="1" x14ac:dyDescent="0.25"/>
    <row r="11" spans="1:5" x14ac:dyDescent="0.25">
      <c r="B11" s="39" t="s">
        <v>135</v>
      </c>
      <c r="C11" s="1">
        <v>16</v>
      </c>
    </row>
    <row r="12" spans="1:5" ht="16.5" customHeight="1" x14ac:dyDescent="0.25">
      <c r="C12" s="52" t="s">
        <v>131</v>
      </c>
      <c r="D12" s="52"/>
      <c r="E12" s="32"/>
    </row>
    <row r="13" spans="1:5" x14ac:dyDescent="0.25">
      <c r="C13" s="33" t="s">
        <v>132</v>
      </c>
      <c r="D13" s="34">
        <v>40000</v>
      </c>
      <c r="E13" s="32" t="s">
        <v>136</v>
      </c>
    </row>
    <row r="14" spans="1:5" x14ac:dyDescent="0.25">
      <c r="C14" s="33" t="s">
        <v>133</v>
      </c>
      <c r="D14" s="35">
        <f>((D13*509.3140064)/(2^C11))-280.2308787</f>
        <v>30.62972090937501</v>
      </c>
      <c r="E14" s="32" t="s">
        <v>134</v>
      </c>
    </row>
    <row r="16" spans="1:5" x14ac:dyDescent="0.25">
      <c r="C16" s="33" t="s">
        <v>137</v>
      </c>
      <c r="D16" s="34" t="s">
        <v>139</v>
      </c>
      <c r="E16" s="32" t="s">
        <v>138</v>
      </c>
    </row>
    <row r="17" spans="3:5" x14ac:dyDescent="0.25">
      <c r="C17" s="33" t="s">
        <v>133</v>
      </c>
      <c r="D17" s="35">
        <f>((HEX2DEC(D16)*509.3140064)/(2^C11))-280.2308787</f>
        <v>30.62972090937501</v>
      </c>
      <c r="E17" s="32"/>
    </row>
  </sheetData>
  <mergeCells count="1">
    <mergeCell ref="C12:D12"/>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23"/>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25</v>
      </c>
      <c r="C4" s="3" t="s">
        <v>14</v>
      </c>
      <c r="D4" s="10" t="s">
        <v>19</v>
      </c>
      <c r="E4" s="10">
        <v>1</v>
      </c>
    </row>
    <row r="6" spans="1:5" x14ac:dyDescent="0.25">
      <c r="B6" s="8" t="s">
        <v>7</v>
      </c>
    </row>
    <row r="7" spans="1:5" ht="78.75" customHeight="1" x14ac:dyDescent="0.25">
      <c r="B7" s="29" t="s">
        <v>43</v>
      </c>
    </row>
    <row r="8" spans="1:5" ht="39.75" customHeight="1" x14ac:dyDescent="0.25"/>
    <row r="9" spans="1:5" x14ac:dyDescent="0.25">
      <c r="B9" s="7" t="s">
        <v>44</v>
      </c>
    </row>
    <row r="10" spans="1:5" ht="36" customHeight="1" x14ac:dyDescent="0.25"/>
    <row r="11" spans="1:5" ht="16.5" customHeight="1" x14ac:dyDescent="0.25"/>
    <row r="12" spans="1:5" x14ac:dyDescent="0.25">
      <c r="B12" s="39" t="s">
        <v>135</v>
      </c>
      <c r="C12" s="1">
        <v>16</v>
      </c>
      <c r="D12" s="32"/>
      <c r="E12" s="32"/>
    </row>
    <row r="13" spans="1:5" x14ac:dyDescent="0.25">
      <c r="B13" s="32"/>
      <c r="C13" s="52" t="s">
        <v>140</v>
      </c>
      <c r="D13" s="52"/>
      <c r="E13" s="32"/>
    </row>
    <row r="14" spans="1:5" x14ac:dyDescent="0.25">
      <c r="B14" s="32"/>
      <c r="C14" s="33" t="s">
        <v>132</v>
      </c>
      <c r="D14" s="34">
        <v>40000</v>
      </c>
      <c r="E14" s="32" t="s">
        <v>136</v>
      </c>
    </row>
    <row r="15" spans="1:5" x14ac:dyDescent="0.25">
      <c r="B15" s="32"/>
      <c r="C15" s="33" t="s">
        <v>141</v>
      </c>
      <c r="D15" s="35">
        <f>(D14/(2^C12))*3</f>
        <v>1.8310546875</v>
      </c>
      <c r="E15" s="32" t="s">
        <v>142</v>
      </c>
    </row>
    <row r="16" spans="1:5" x14ac:dyDescent="0.25">
      <c r="B16" s="32"/>
    </row>
    <row r="17" spans="2:5" x14ac:dyDescent="0.25">
      <c r="B17" s="32"/>
      <c r="C17" s="33" t="s">
        <v>137</v>
      </c>
      <c r="D17" s="34" t="s">
        <v>139</v>
      </c>
      <c r="E17" s="32" t="s">
        <v>138</v>
      </c>
    </row>
    <row r="18" spans="2:5" x14ac:dyDescent="0.25">
      <c r="B18" s="32"/>
      <c r="C18" s="33" t="s">
        <v>141</v>
      </c>
      <c r="D18" s="35">
        <f>(HEX2DEC(D17)/(2^C12))*3</f>
        <v>1.8310546875</v>
      </c>
      <c r="E18" s="32" t="s">
        <v>142</v>
      </c>
    </row>
    <row r="19" spans="2:5" x14ac:dyDescent="0.25">
      <c r="B19" s="32"/>
      <c r="C19" s="32"/>
      <c r="D19" s="32"/>
      <c r="E19" s="32"/>
    </row>
    <row r="20" spans="2:5" x14ac:dyDescent="0.25">
      <c r="B20" s="32"/>
      <c r="C20" s="32"/>
      <c r="D20" s="32"/>
      <c r="E20" s="32"/>
    </row>
    <row r="21" spans="2:5" x14ac:dyDescent="0.25">
      <c r="B21" s="32"/>
      <c r="C21" s="32"/>
      <c r="D21" s="32"/>
      <c r="E21" s="32"/>
    </row>
    <row r="22" spans="2:5" x14ac:dyDescent="0.25">
      <c r="B22" s="32"/>
      <c r="C22" s="32"/>
      <c r="D22" s="32"/>
      <c r="E22" s="32"/>
    </row>
    <row r="23" spans="2:5" x14ac:dyDescent="0.25">
      <c r="B23" s="32"/>
      <c r="C23" s="32"/>
      <c r="D23" s="32"/>
      <c r="E23" s="32"/>
    </row>
  </sheetData>
  <mergeCells count="1">
    <mergeCell ref="C13:D13"/>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t="s">
        <v>77</v>
      </c>
      <c r="B3" s="16" t="s">
        <v>2</v>
      </c>
      <c r="C3" s="17"/>
      <c r="D3" s="18"/>
      <c r="E3" s="18"/>
    </row>
    <row r="4" spans="1:5" ht="15" customHeight="1" x14ac:dyDescent="0.25">
      <c r="A4" s="24">
        <v>23</v>
      </c>
      <c r="B4" s="6" t="s">
        <v>76</v>
      </c>
      <c r="C4" s="3" t="s">
        <v>23</v>
      </c>
      <c r="D4" s="10">
        <v>0</v>
      </c>
      <c r="E4" s="10"/>
    </row>
    <row r="5" spans="1:5" ht="15" customHeight="1" x14ac:dyDescent="0.25">
      <c r="A5" s="15">
        <v>22</v>
      </c>
      <c r="B5" s="16" t="s">
        <v>162</v>
      </c>
      <c r="C5" s="17" t="s">
        <v>23</v>
      </c>
      <c r="D5" s="18">
        <v>0</v>
      </c>
      <c r="E5" s="18">
        <v>1</v>
      </c>
    </row>
    <row r="6" spans="1:5" ht="96.75" customHeight="1" x14ac:dyDescent="0.25">
      <c r="A6" s="24" t="s">
        <v>75</v>
      </c>
      <c r="B6" s="6" t="s">
        <v>163</v>
      </c>
      <c r="C6" s="3" t="s">
        <v>23</v>
      </c>
      <c r="D6" s="10">
        <v>0</v>
      </c>
      <c r="E6" s="10"/>
    </row>
    <row r="7" spans="1:5" ht="15" customHeight="1" x14ac:dyDescent="0.25">
      <c r="A7" s="15" t="s">
        <v>73</v>
      </c>
      <c r="B7" s="16" t="s">
        <v>74</v>
      </c>
      <c r="C7" s="17" t="s">
        <v>23</v>
      </c>
      <c r="D7" s="18">
        <v>0</v>
      </c>
      <c r="E7" s="18"/>
    </row>
    <row r="8" spans="1:5" ht="15" customHeight="1" x14ac:dyDescent="0.25">
      <c r="A8" s="24" t="s">
        <v>78</v>
      </c>
      <c r="B8" s="6" t="s">
        <v>81</v>
      </c>
      <c r="C8" s="3" t="s">
        <v>23</v>
      </c>
      <c r="D8" s="10">
        <v>0</v>
      </c>
      <c r="E8" s="10"/>
    </row>
    <row r="9" spans="1:5" ht="15" customHeight="1" x14ac:dyDescent="0.25">
      <c r="A9" s="15" t="s">
        <v>80</v>
      </c>
      <c r="B9" s="16" t="s">
        <v>82</v>
      </c>
      <c r="C9" s="17" t="s">
        <v>23</v>
      </c>
      <c r="D9" s="18">
        <v>0</v>
      </c>
      <c r="E9" s="18"/>
    </row>
    <row r="10" spans="1:5" ht="15" customHeight="1" x14ac:dyDescent="0.25">
      <c r="A10" s="24">
        <v>1</v>
      </c>
      <c r="B10" s="6" t="s">
        <v>106</v>
      </c>
      <c r="C10" s="3" t="s">
        <v>23</v>
      </c>
      <c r="D10" s="10">
        <v>0</v>
      </c>
      <c r="E10" s="10">
        <v>1</v>
      </c>
    </row>
    <row r="11" spans="1:5" ht="15" customHeight="1" x14ac:dyDescent="0.25">
      <c r="A11" s="15">
        <v>0</v>
      </c>
      <c r="B11" s="16" t="s">
        <v>72</v>
      </c>
      <c r="C11" s="17" t="s">
        <v>23</v>
      </c>
      <c r="D11" s="18">
        <v>0</v>
      </c>
      <c r="E11" s="18"/>
    </row>
    <row r="12" spans="1:5" ht="15" customHeight="1" x14ac:dyDescent="0.25">
      <c r="A12" s="25"/>
      <c r="B12" s="4"/>
      <c r="D12" s="22"/>
      <c r="E12" s="22"/>
    </row>
    <row r="14" spans="1:5" x14ac:dyDescent="0.25">
      <c r="B14" s="11" t="s">
        <v>7</v>
      </c>
    </row>
    <row r="15" spans="1:5" ht="25.5" x14ac:dyDescent="0.25">
      <c r="B15" s="4" t="s">
        <v>143</v>
      </c>
    </row>
    <row r="16" spans="1:5" x14ac:dyDescent="0.25">
      <c r="B16" s="7"/>
    </row>
    <row r="17" spans="2:2" x14ac:dyDescent="0.25">
      <c r="B17" s="7"/>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29"/>
  <sheetViews>
    <sheetView workbookViewId="0"/>
  </sheetViews>
  <sheetFormatPr defaultRowHeight="15" x14ac:dyDescent="0.25"/>
  <cols>
    <col min="1" max="1" width="11.140625" style="1" customWidth="1"/>
    <col min="2" max="2" width="93.5703125" customWidth="1"/>
    <col min="3" max="3" width="16"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46</v>
      </c>
      <c r="B3" s="20" t="s">
        <v>2</v>
      </c>
      <c r="C3" s="17" t="s">
        <v>19</v>
      </c>
      <c r="D3" s="18"/>
      <c r="E3" s="18"/>
    </row>
    <row r="4" spans="1:5" x14ac:dyDescent="0.25">
      <c r="A4" s="10" t="s">
        <v>65</v>
      </c>
      <c r="B4" s="3" t="s">
        <v>121</v>
      </c>
      <c r="C4" s="3" t="s">
        <v>23</v>
      </c>
      <c r="D4" s="10">
        <v>0</v>
      </c>
      <c r="E4" s="10" t="s">
        <v>66</v>
      </c>
    </row>
    <row r="6" spans="1:5" x14ac:dyDescent="0.25">
      <c r="B6" s="8" t="s">
        <v>7</v>
      </c>
    </row>
    <row r="7" spans="1:5" ht="29.25" x14ac:dyDescent="0.25">
      <c r="B7" s="29" t="s">
        <v>122</v>
      </c>
    </row>
    <row r="8" spans="1:5" ht="29.25" x14ac:dyDescent="0.25">
      <c r="B8" s="29" t="s">
        <v>123</v>
      </c>
    </row>
    <row r="9" spans="1:5" ht="49.5" customHeight="1" x14ac:dyDescent="0.25"/>
    <row r="10" spans="1:5" x14ac:dyDescent="0.25">
      <c r="B10" s="39" t="s">
        <v>124</v>
      </c>
      <c r="C10" s="32">
        <v>100</v>
      </c>
      <c r="D10" s="32" t="s">
        <v>108</v>
      </c>
      <c r="E10" s="32"/>
    </row>
    <row r="11" spans="1:5" x14ac:dyDescent="0.25">
      <c r="B11" s="32"/>
      <c r="C11" s="32"/>
      <c r="D11" s="32"/>
      <c r="E11" s="32"/>
    </row>
    <row r="12" spans="1:5" x14ac:dyDescent="0.25">
      <c r="B12" s="32"/>
      <c r="C12" s="52" t="s">
        <v>125</v>
      </c>
      <c r="D12" s="52"/>
      <c r="E12" s="32"/>
    </row>
    <row r="13" spans="1:5" x14ac:dyDescent="0.25">
      <c r="B13" s="32"/>
      <c r="C13" s="33" t="s">
        <v>111</v>
      </c>
      <c r="D13" s="34">
        <v>50</v>
      </c>
      <c r="E13" s="32" t="s">
        <v>113</v>
      </c>
    </row>
    <row r="14" spans="1:5" x14ac:dyDescent="0.25">
      <c r="B14" s="32"/>
      <c r="C14" s="33" t="s">
        <v>110</v>
      </c>
      <c r="D14" s="35">
        <f>ROUND((D13*C10)/1000,0)</f>
        <v>5</v>
      </c>
      <c r="E14" s="32"/>
    </row>
    <row r="15" spans="1:5" x14ac:dyDescent="0.25">
      <c r="B15" s="32"/>
      <c r="C15" s="33" t="s">
        <v>112</v>
      </c>
      <c r="D15" s="36">
        <f>(D14/C10)*1000</f>
        <v>50</v>
      </c>
      <c r="E15" s="32" t="s">
        <v>113</v>
      </c>
    </row>
    <row r="16" spans="1:5" x14ac:dyDescent="0.25">
      <c r="B16" s="32"/>
      <c r="C16" s="32"/>
      <c r="D16" s="32"/>
      <c r="E16" s="32"/>
    </row>
    <row r="17" spans="2:5" x14ac:dyDescent="0.25">
      <c r="B17" s="32"/>
      <c r="C17" s="32"/>
      <c r="D17" s="32"/>
      <c r="E17" s="32"/>
    </row>
    <row r="18" spans="2:5" x14ac:dyDescent="0.25">
      <c r="B18" s="32"/>
      <c r="C18" s="32"/>
      <c r="D18" s="32"/>
      <c r="E18" s="32"/>
    </row>
    <row r="19" spans="2:5" x14ac:dyDescent="0.25">
      <c r="B19" s="32"/>
      <c r="C19" s="32"/>
      <c r="D19" s="32"/>
      <c r="E19" s="32"/>
    </row>
    <row r="20" spans="2:5" x14ac:dyDescent="0.25">
      <c r="B20" s="32"/>
      <c r="C20" s="32"/>
      <c r="D20" s="32"/>
      <c r="E20" s="32"/>
    </row>
    <row r="21" spans="2:5" x14ac:dyDescent="0.25">
      <c r="B21" s="32"/>
      <c r="C21" s="32"/>
      <c r="D21" s="32"/>
      <c r="E21" s="32"/>
    </row>
    <row r="22" spans="2:5" x14ac:dyDescent="0.25">
      <c r="B22" s="32"/>
      <c r="C22" s="32"/>
      <c r="D22" s="32"/>
      <c r="E22" s="32"/>
    </row>
    <row r="23" spans="2:5" x14ac:dyDescent="0.25">
      <c r="B23" s="32"/>
      <c r="C23" s="32"/>
      <c r="D23" s="32"/>
      <c r="E23" s="32"/>
    </row>
    <row r="24" spans="2:5" x14ac:dyDescent="0.25">
      <c r="B24" s="32"/>
      <c r="C24" s="32"/>
      <c r="D24" s="32"/>
      <c r="E24" s="32"/>
    </row>
    <row r="25" spans="2:5" x14ac:dyDescent="0.25">
      <c r="B25" s="32"/>
      <c r="C25" s="32"/>
      <c r="D25" s="32"/>
      <c r="E25" s="32"/>
    </row>
    <row r="26" spans="2:5" x14ac:dyDescent="0.25">
      <c r="B26" s="32"/>
      <c r="C26" s="32"/>
      <c r="D26" s="32"/>
      <c r="E26" s="32"/>
    </row>
    <row r="27" spans="2:5" x14ac:dyDescent="0.25">
      <c r="B27" s="32"/>
      <c r="C27" s="32"/>
      <c r="D27" s="32"/>
      <c r="E27" s="32"/>
    </row>
    <row r="28" spans="2:5" x14ac:dyDescent="0.25">
      <c r="B28" s="32"/>
      <c r="C28" s="32"/>
      <c r="D28" s="32"/>
      <c r="E28" s="32"/>
    </row>
    <row r="29" spans="2:5" x14ac:dyDescent="0.25">
      <c r="B29" s="32"/>
      <c r="C29" s="32"/>
      <c r="D29" s="32"/>
      <c r="E29" s="32"/>
    </row>
  </sheetData>
  <mergeCells count="1">
    <mergeCell ref="C12:D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Memory Map</vt:lpstr>
      <vt:lpstr>FW Revision</vt:lpstr>
      <vt:lpstr>Overall Status</vt:lpstr>
      <vt:lpstr>Main Control</vt:lpstr>
      <vt:lpstr>Ksine</vt:lpstr>
      <vt:lpstr>DU_SW</vt:lpstr>
      <vt:lpstr>Scan_Limit_Result</vt:lpstr>
      <vt:lpstr>System_Status</vt:lpstr>
      <vt:lpstr>SWCR Status Bits</vt:lpstr>
      <vt:lpstr>ARM Status</vt:lpstr>
      <vt:lpstr>DCU Enable</vt:lpstr>
      <vt:lpstr>Start Delay SPI Reaback</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Tran, Hai (US) - SS</cp:lastModifiedBy>
  <dcterms:created xsi:type="dcterms:W3CDTF">2017-11-16T22:09:34Z</dcterms:created>
  <dcterms:modified xsi:type="dcterms:W3CDTF">2026-06-10T14:50:56Z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y fmtid="{D5CDD505-2E9C-101B-9397-08002B2CF9AE}" pid="4" name="MSIP_Label_a8646e0b-a435-48bd-bb2e-6a777753dede_Enabled">
    <vt:lpwstr>true</vt:lpwstr>
  </property>
  <property fmtid="{D5CDD505-2E9C-101B-9397-08002B2CF9AE}" pid="5" name="MSIP_Label_a8646e0b-a435-48bd-bb2e-6a777753dede_SetDate">
    <vt:lpwstr>2026-06-10T14:50:29Z</vt:lpwstr>
  </property>
  <property fmtid="{D5CDD505-2E9C-101B-9397-08002B2CF9AE}" pid="6" name="MSIP_Label_a8646e0b-a435-48bd-bb2e-6a777753dede_Method">
    <vt:lpwstr>Privileged</vt:lpwstr>
  </property>
  <property fmtid="{D5CDD505-2E9C-101B-9397-08002B2CF9AE}" pid="7" name="MSIP_Label_a8646e0b-a435-48bd-bb2e-6a777753dede_Name">
    <vt:lpwstr>Unrestricted</vt:lpwstr>
  </property>
  <property fmtid="{D5CDD505-2E9C-101B-9397-08002B2CF9AE}" pid="8" name="MSIP_Label_a8646e0b-a435-48bd-bb2e-6a777753dede_SiteId">
    <vt:lpwstr>ba488c5e-f105-4a2b-a8b1-b57b26a44117</vt:lpwstr>
  </property>
  <property fmtid="{D5CDD505-2E9C-101B-9397-08002B2CF9AE}" pid="9" name="MSIP_Label_a8646e0b-a435-48bd-bb2e-6a777753dede_ActionId">
    <vt:lpwstr>4c46a0a2-7754-43db-ab9d-0ad02ef28a8d</vt:lpwstr>
  </property>
  <property fmtid="{D5CDD505-2E9C-101B-9397-08002B2CF9AE}" pid="10" name="MSIP_Label_a8646e0b-a435-48bd-bb2e-6a777753dede_ContentBits">
    <vt:lpwstr>0</vt:lpwstr>
  </property>
  <property fmtid="{D5CDD505-2E9C-101B-9397-08002B2CF9AE}" pid="11" name="MSIP_Label_a8646e0b-a435-48bd-bb2e-6a777753dede_Tag">
    <vt:lpwstr>10, 0, 1, 1</vt:lpwstr>
  </property>
</Properties>
</file>