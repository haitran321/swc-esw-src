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PGA_Designs\IRT\L3H\SWCR\TU\docs\"/>
    </mc:Choice>
  </mc:AlternateContent>
  <xr:revisionPtr revIDLastSave="0" documentId="13_ncr:1_{6C815A82-F19B-4563-8369-8D1E1B29B4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ory Map" sheetId="2" r:id="rId1"/>
    <sheet name="FW Revision" sheetId="4" r:id="rId2"/>
    <sheet name="Overall Status" sheetId="5" r:id="rId3"/>
    <sheet name="Main Control" sheetId="1" r:id="rId4"/>
    <sheet name="Ksine" sheetId="25" r:id="rId5"/>
    <sheet name="Scan_Limit_Result" sheetId="42" r:id="rId6"/>
    <sheet name="System_Status" sheetId="43" r:id="rId7"/>
    <sheet name="ARM Status" sheetId="48" r:id="rId8"/>
    <sheet name="SWC Status" sheetId="54" r:id="rId9"/>
    <sheet name="SWCR Status" sheetId="53" r:id="rId10"/>
    <sheet name="Pulse Duration" sheetId="49" r:id="rId11"/>
    <sheet name="RLTD Period" sheetId="50" r:id="rId12"/>
    <sheet name="RLTD Runs" sheetId="51" r:id="rId13"/>
    <sheet name="Pre RLTD Time" sheetId="52" r:id="rId14"/>
    <sheet name="Num Increment" sheetId="55" r:id="rId15"/>
    <sheet name="Alpha Increment" sheetId="56" r:id="rId16"/>
    <sheet name="Beta Increment" sheetId="57" r:id="rId17"/>
    <sheet name="Cycle Repeat" sheetId="58" r:id="rId18"/>
    <sheet name="Num Cycles" sheetId="59" r:id="rId19"/>
    <sheet name="Die Temperature" sheetId="27" r:id="rId20"/>
    <sheet name="Voltage" sheetId="41" r:id="rId21"/>
    <sheet name="Diagnostic R-W" sheetId="1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0" l="1"/>
  <c r="D12" i="52"/>
  <c r="D13" i="49" l="1"/>
  <c r="D18" i="41"/>
  <c r="D15" i="41"/>
  <c r="D17" i="27"/>
  <c r="D14" i="27"/>
  <c r="C3" i="2"/>
  <c r="B4" i="2"/>
  <c r="B5" i="2" s="1"/>
  <c r="C4" i="2" l="1"/>
  <c r="B6" i="2"/>
  <c r="C5" i="2"/>
  <c r="B7" i="2" l="1"/>
  <c r="C6" i="2"/>
  <c r="B8" i="2" l="1"/>
  <c r="C7" i="2"/>
  <c r="B9" i="2" l="1"/>
  <c r="C8" i="2"/>
  <c r="B10" i="2" l="1"/>
  <c r="C9" i="2"/>
  <c r="B11" i="2" l="1"/>
  <c r="C10" i="2"/>
  <c r="B12" i="2" l="1"/>
  <c r="C11" i="2"/>
  <c r="B13" i="2" l="1"/>
  <c r="C12" i="2"/>
  <c r="B14" i="2" l="1"/>
  <c r="C13" i="2"/>
  <c r="B15" i="2" l="1"/>
  <c r="C14" i="2"/>
  <c r="B16" i="2" l="1"/>
  <c r="C15" i="2"/>
  <c r="B17" i="2" l="1"/>
  <c r="C16" i="2"/>
  <c r="B18" i="2" l="1"/>
  <c r="C17" i="2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B25" i="2" l="1"/>
  <c r="C24" i="2"/>
  <c r="B26" i="2" l="1"/>
  <c r="C25" i="2"/>
  <c r="B27" i="2" l="1"/>
  <c r="C26" i="2"/>
  <c r="B28" i="2" l="1"/>
  <c r="C27" i="2"/>
  <c r="B29" i="2" l="1"/>
  <c r="C28" i="2"/>
  <c r="B30" i="2" l="1"/>
  <c r="B31" i="2" s="1"/>
  <c r="C29" i="2"/>
  <c r="B32" i="2" l="1"/>
  <c r="C31" i="2"/>
  <c r="C30" i="2"/>
  <c r="B33" i="2" l="1"/>
  <c r="C32" i="2"/>
  <c r="B34" i="2" l="1"/>
  <c r="C33" i="2"/>
  <c r="C34" i="2" l="1"/>
</calcChain>
</file>

<file path=xl/sharedStrings.xml><?xml version="1.0" encoding="utf-8"?>
<sst xmlns="http://schemas.openxmlformats.org/spreadsheetml/2006/main" count="486" uniqueCount="179">
  <si>
    <t>BITS</t>
  </si>
  <si>
    <t>FUNCTION</t>
  </si>
  <si>
    <t>Not Used</t>
  </si>
  <si>
    <t>Register Name</t>
  </si>
  <si>
    <t>31..0</t>
  </si>
  <si>
    <t>15..0</t>
  </si>
  <si>
    <t>31..16</t>
  </si>
  <si>
    <t>Notes:</t>
  </si>
  <si>
    <t>Buffer to read and write information (mainly used for passing diagnostics information).  FPGA will take no action.</t>
  </si>
  <si>
    <t>Diagnostic R-W: Buffer for reading and writing information - Read/Write</t>
  </si>
  <si>
    <t>Reg #</t>
  </si>
  <si>
    <t>Addr Offset</t>
  </si>
  <si>
    <t>Direction</t>
  </si>
  <si>
    <t>FW Revision</t>
  </si>
  <si>
    <t>Read Only</t>
  </si>
  <si>
    <t>Write/Read</t>
  </si>
  <si>
    <t>Spare</t>
  </si>
  <si>
    <t>FPGA Revision:  15..8 Major Revision 7..0 minor revision.  Ex: 0x030B = Rev 3.11</t>
  </si>
  <si>
    <t>Read</t>
  </si>
  <si>
    <t>N/A</t>
  </si>
  <si>
    <t>R/W</t>
  </si>
  <si>
    <t>Default</t>
  </si>
  <si>
    <t>Notes</t>
  </si>
  <si>
    <t>Write/(read)</t>
  </si>
  <si>
    <t>NOTES:</t>
  </si>
  <si>
    <t>15..13</t>
  </si>
  <si>
    <t>ADC value of the Die Temperature Voltage reading</t>
  </si>
  <si>
    <t>[2] For referance ONLY:  Voltage to the internal ADC:</t>
  </si>
  <si>
    <t>Overall Status</t>
  </si>
  <si>
    <t>Die Temperature</t>
  </si>
  <si>
    <t>Reserved</t>
  </si>
  <si>
    <t>9..0</t>
  </si>
  <si>
    <t>31..10</t>
  </si>
  <si>
    <t>Mian Control</t>
  </si>
  <si>
    <t>VCCINT Voltage</t>
  </si>
  <si>
    <t>High Temperature alarm</t>
  </si>
  <si>
    <t>VCCINT Alarm</t>
  </si>
  <si>
    <t>VCCAUX Alarm</t>
  </si>
  <si>
    <t>VBRAM Alarm</t>
  </si>
  <si>
    <t>Soft reset.  When toggled from 0 --&gt; 1 several data registers and state machines will be reset. Must be set back to 0 to restart.</t>
  </si>
  <si>
    <t>VBRAM Voltage</t>
  </si>
  <si>
    <t>[1] The following Equation can be used to calculate the Internal system voltage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</si>
  <si>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Example using all 16-bits:</t>
  </si>
  <si>
    <t>Scan Limit Result</t>
  </si>
  <si>
    <t>31..5</t>
  </si>
  <si>
    <t>sin_el check result: 0=Fail, 1=Pass</t>
  </si>
  <si>
    <t>w check result: 0=Fail, 1=Pass</t>
  </si>
  <si>
    <t>v check result: 0=Fail, 1=Pass</t>
  </si>
  <si>
    <t>u check result: 0=Fail, 1=Pass</t>
  </si>
  <si>
    <t>Scan Limit Status: 0=Fail, 1=Pass</t>
  </si>
  <si>
    <t>Ready status: 1 =DU ready</t>
  </si>
  <si>
    <t>System Status</t>
  </si>
  <si>
    <t>1..0</t>
  </si>
  <si>
    <t>BIT Result: 1=Pass 0=Fail</t>
  </si>
  <si>
    <t>1, 2</t>
  </si>
  <si>
    <t>7..6</t>
  </si>
  <si>
    <t>31..12</t>
  </si>
  <si>
    <t>Boresight Command: 1=A Boresight command was issued on the last Data Transfer request</t>
  </si>
  <si>
    <t>Calibration Command: 1 = A Calibration command was issued on the last Data Transfer request</t>
  </si>
  <si>
    <t>ARM Ksine Steering word value</t>
  </si>
  <si>
    <t>Not use</t>
  </si>
  <si>
    <t>6..5</t>
  </si>
  <si>
    <t>System Configuration/Mode:
00 = Error
01 = SWC
10 = Joint
11 = SWCR</t>
  </si>
  <si>
    <t>b_000</t>
  </si>
  <si>
    <t>b_11</t>
  </si>
  <si>
    <t>ARM Initialization Status</t>
  </si>
  <si>
    <t>VCCAUX Voltage</t>
  </si>
  <si>
    <t>Application Ready: 0=Not running 1=Application running</t>
  </si>
  <si>
    <t>Future use</t>
  </si>
  <si>
    <t>31..4</t>
  </si>
  <si>
    <t>ARM Ready: 0=boot not complete, 1=Boot complete</t>
  </si>
  <si>
    <t>[1] These bits will be used by the FPGA as part of the logic that sets the DU Ready LED</t>
  </si>
  <si>
    <t>MHz</t>
  </si>
  <si>
    <t>Reg Value</t>
  </si>
  <si>
    <t>[1] The following Equation can be used to calculate the Temperature in celcius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</si>
  <si>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Temperature Calculation</t>
  </si>
  <si>
    <t>ADC Counts</t>
  </si>
  <si>
    <t xml:space="preserve">Temperature  </t>
  </si>
  <si>
    <t>°C</t>
  </si>
  <si>
    <t>ADC Bits used =</t>
  </si>
  <si>
    <t>Decimal</t>
  </si>
  <si>
    <t xml:space="preserve">ADC Counts </t>
  </si>
  <si>
    <t>Hex</t>
  </si>
  <si>
    <t>9C40</t>
  </si>
  <si>
    <t>Voltage Calculation</t>
  </si>
  <si>
    <t xml:space="preserve">Voltage  </t>
  </si>
  <si>
    <t>V</t>
  </si>
  <si>
    <t>Over Temperature alarm</t>
  </si>
  <si>
    <r>
      <rPr>
        <b/>
        <sz val="11"/>
        <color theme="1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There are two temperature alarms for FPGA Die temperature.  The high temp alarm is only an indicator that die temperature is high but not critical.  The Over temperature alarm indicates a die temperature that could be potentially harmful to the device.  Current Thresholds are:
High Temp: Alarm Set = 85C Alarm turn off after set = 80C
Over Temp: Alarm Set = 100C Alarm turn off after set = 95C</t>
    </r>
  </si>
  <si>
    <r>
      <rPr>
        <b/>
        <sz val="11"/>
        <color theme="1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This is the overall Built-In-Test (BIT) result.  It is a rolled up result of all other status bits.</t>
    </r>
  </si>
  <si>
    <r>
      <rPr>
        <b/>
        <sz val="11"/>
        <color theme="1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The currently set voltage thresholds are shown below:
VCCINT: Lower: 0.78 Upper 0.92 (nominal 0.85)
VCCAUX: Lower: 1.75 Upper 1.89 (nominal 1.8)
VBRAM: Lower: 0.78 Upper 0.92 (nominal 0.85)</t>
    </r>
  </si>
  <si>
    <t>30..6</t>
  </si>
  <si>
    <t>Shutdown Command: 0=Normal Operation, 1=Shutdown</t>
  </si>
  <si>
    <t>17..16</t>
  </si>
  <si>
    <t>19..18</t>
  </si>
  <si>
    <t>30 .. 20</t>
  </si>
  <si>
    <r>
      <t xml:space="preserve">Scan Limit Calculation Center Frequency Select:
</t>
    </r>
    <r>
      <rPr>
        <sz val="10"/>
        <color theme="1"/>
        <rFont val="Courier New"/>
        <family val="3"/>
      </rPr>
      <t>00 = 442MHz
01 = 444MHz
10 = 445MHz
11 = 446MHz</t>
    </r>
  </si>
  <si>
    <t>11..10</t>
  </si>
  <si>
    <t>arm_ksine_alpha  (steering word sent to ATB)</t>
  </si>
  <si>
    <t>arm_ksine_beta (steering word sent to ATB)</t>
  </si>
  <si>
    <t>SWC Status</t>
  </si>
  <si>
    <t>SWCR Status</t>
  </si>
  <si>
    <r>
      <t xml:space="preserve">TWGS Command:
</t>
    </r>
    <r>
      <rPr>
        <sz val="10"/>
        <color theme="1"/>
        <rFont val="Courier New"/>
        <family val="3"/>
      </rPr>
      <t>00 = None 
01 = Borsite     
10 = Calibration 
11 = Both</t>
    </r>
  </si>
  <si>
    <r>
      <t xml:space="preserve">System Config: (Set my Main control reg)
</t>
    </r>
    <r>
      <rPr>
        <sz val="10"/>
        <color theme="1"/>
        <rFont val="Courier New"/>
        <family val="3"/>
      </rPr>
      <t>00 = Error
01 = SWC
10 = Joint
11 = SCWR</t>
    </r>
  </si>
  <si>
    <t>Sets the output signal Pulse Duration in clock counts.  Pulse Time(s) = Register Value * Sys_Clk period</t>
  </si>
  <si>
    <t>Pulse Delay</t>
  </si>
  <si>
    <t>us</t>
  </si>
  <si>
    <t>Delay Wanted</t>
  </si>
  <si>
    <t>System Clock =</t>
  </si>
  <si>
    <t>[2] This value cannot be less than 100.</t>
  </si>
  <si>
    <t>Pusle Duration for /RLTD</t>
  </si>
  <si>
    <t>PBP Period</t>
  </si>
  <si>
    <t>[1] The value sets the pulse duration for outgoing signals.  There are four sepatate registers for /RLTD, Alpha/Beta SW, /RLCP and /RLSC</t>
  </si>
  <si>
    <t>Pulse Duration for Ksine Alpha/Beta Steering Word</t>
  </si>
  <si>
    <t>Pusle Duration for /RLCP</t>
  </si>
  <si>
    <t>Pulse Duration for /RLSC</t>
  </si>
  <si>
    <t>100 (/RLTD)
300 (SW)
8000(/RLCP)
8000(/RLSC)</t>
  </si>
  <si>
    <r>
      <rPr>
        <b/>
        <sz val="11"/>
        <color theme="1"/>
        <rFont val="Arial"/>
        <family val="2"/>
      </rPr>
      <t>[1]</t>
    </r>
    <r>
      <rPr>
        <sz val="11"/>
        <color theme="1"/>
        <rFont val="Arial"/>
        <family val="2"/>
      </rPr>
      <t xml:space="preserve"> When an /RLTD is generated the following signals are also applied for their respective pulse durations: 
Ksine Alpha
Ksine Beta
/RLCP
/RLSC</t>
    </r>
  </si>
  <si>
    <t>Time to apply /RLSC before /RLTD  Time = Register Value / System Clock</t>
  </si>
  <si>
    <t>[1] This setting defines how long to wait before generating the /RLTD signal after a software trigger.  The /RLSC singal is applied right after the software trigger</t>
  </si>
  <si>
    <t>/RLTD Period</t>
  </si>
  <si>
    <t>/RLTD Period is how often an /RLTD occurs when /RLTD Runs is greater than zero</t>
  </si>
  <si>
    <t>Software Trigger: Toggle from 0--&gt;1 to generate /RLTD for the number of times in the /RLTD Runs register</t>
  </si>
  <si>
    <t>[1] This value is the period at which the /RLTD signal will be generated. The register values is number of clock cycles.  Period is given by the below equation.</t>
  </si>
  <si>
    <t>Set the number of /RLTDs to run when in the software trigger is toggled from 0--&gt;1</t>
  </si>
  <si>
    <t>[1] Once the "Software Trigger" bit in the main control register is toggled from 0 --&gt; 1, /RLTDs will be generated for the number of times defined in this register at a period defined by the /RLTD Period register.  To run again the "Software Trigger" must once again be toggled from 0 --&gt; 1 (i.e. the FW uses a rising edge detection).</t>
  </si>
  <si>
    <t>[2] Setting this value to zero will generate /RLTDs at a preiod defined by the /RLTD Perod register as long as the "Software Trigger" bit in the main control register is high</t>
  </si>
  <si>
    <t>3..2</t>
  </si>
  <si>
    <t>5..4</t>
  </si>
  <si>
    <t>Data Type: Indcates what data type is select which defines what bist 0 to 7 represenet.
00 = Error
01 = Configuration
10 = Status
11 = I/O Module Status</t>
  </si>
  <si>
    <t>These bits mean differnet things depending on the DU' s Data Type: 
Data Type = Configuration: System Config where 00=Erro, 01=SWC, 10=Joint, 11=SWCR
Data Type = Status: Bit5 = Alpha DU Status, Bit4 = Beta DU Status.  For both 0=NG, 1=G
Data Type = I/O Module Status: Bit5 = Temperature Stauts, Bit4 = +12V power Status. For both 0=NG, 1=G</t>
  </si>
  <si>
    <t>These bits mean differnet things depending on the DU' s Data Type: 
Data Type = Configuration: Future use
Data Type = Status: 00=Error, 01=Red, 10=Yellow, 11=Green
Data Type = I/O Module Status: Future use</t>
  </si>
  <si>
    <t>Overall SWCR Status.  0=NG, 1=G</t>
  </si>
  <si>
    <t>Scan Limit Status: 0=Error, 1=No Error</t>
  </si>
  <si>
    <t>17..10</t>
  </si>
  <si>
    <t>DCU Number: LSB = Bit10 and MSB = Bit17</t>
  </si>
  <si>
    <t>DCU Status: 0=NG, 1=G</t>
  </si>
  <si>
    <t>These bits mean differnet things depending on the DU' s Data Type:
Data Type = Configuration:  Bit3 = Mode (0=Online, 1=Test/Offline), Bit2 = Future Use
Data Type = Status: 00=Error, 01=Red, 10=Yellow, 11=Green
Data Type = I/O Module Status:  Bit3 = +24V Power Status, Bit2 = ATB Status.  For both 0=NG, 1=G</t>
  </si>
  <si>
    <t>DCU Group: 0=Alpha 1=Beta</t>
  </si>
  <si>
    <t>31..20</t>
  </si>
  <si>
    <t>SWC Error: WLER1 (TWGS Bit 1, XCVR 4 chan 6)</t>
  </si>
  <si>
    <t>Reserved (moved all status up from bit0 to match TWGS convention)</t>
  </si>
  <si>
    <t>31..21</t>
  </si>
  <si>
    <t>SWC Error: WLER2 (TWGS Bit 2, XCVR 4 chan 5)</t>
  </si>
  <si>
    <t>SWC Error: WLER3 (TWGS Bit 3, XCVR 4 chan 4)</t>
  </si>
  <si>
    <t>SWC Error: WLER4 (TWGS Bit 4, XCVR 4 chan 3)</t>
  </si>
  <si>
    <t>SWC Error: WLER5 (TWGS Bit 5, XCVR 6 chan 6)</t>
  </si>
  <si>
    <t>SWC Error: WLER6 (TWGS Bit 6, XCVR 6 chan 5)</t>
  </si>
  <si>
    <t>SWC Error: WLER7 (TWGS Bit 7, XCVR 6 chan 4)</t>
  </si>
  <si>
    <t>SWC Error: WLER8 (TWGS Bit 8, XCVR 6 chan 3)</t>
  </si>
  <si>
    <t>SWC Scan Limit: WLSL1 (TWGS Bit 9, XCVR 6 chan 1)</t>
  </si>
  <si>
    <t>SWC Scan Limit: WLSL7 (TWGS Bit 10, XCVR 1 chan3)</t>
  </si>
  <si>
    <t>SWC Scan Limit: WLSL3 (TWGS Bit 11, XCVR 1 chan6)</t>
  </si>
  <si>
    <t>SWC Scan Limit: WLSL5 (TWGS Bit 12, XCVR 1 chan5)</t>
  </si>
  <si>
    <t>SWC Scan Limit: WLSL13 (TWGS Bit 14, XCVR 2 chan2)</t>
  </si>
  <si>
    <t>SWC Scan Limit: WLSL11 (TWGS Bit 13, XCVR 2 chan4)</t>
  </si>
  <si>
    <t>SWC Scan Limit: WLSL2 (TWGS Bit 15, XCVR 6 chan7)</t>
  </si>
  <si>
    <t>SWC Scan Limit: WLSL8 (TWGS Bit 16, XCVR 6 chan2)</t>
  </si>
  <si>
    <t>SWC Scan Limit: WLSL9 (TWGS Bit 17, XCVR 6 chan1)</t>
  </si>
  <si>
    <t>SWC Scan Limit: WLSL6 (TWGS Bit 18, XCVR 6 chan4)</t>
  </si>
  <si>
    <t>SWC Scan Limit: WLSL12 (TWGS Bit 19, XCVR 2 chan3)</t>
  </si>
  <si>
    <t>SWC Scan Limit: WLSL14 (TWGS Bit 20, XCVR 2 chan1)</t>
  </si>
  <si>
    <t>/RLTD Period --&gt; Time Between /RLTDs</t>
  </si>
  <si>
    <t>/RLTD Runs --&gt; Number of RLTDs to Run</t>
  </si>
  <si>
    <t>Alpha Increment value</t>
  </si>
  <si>
    <t>Beta Increment value</t>
  </si>
  <si>
    <t>ATB Mode Select: 0 = Online, 1=Offline (Test)</t>
  </si>
  <si>
    <t>OLTE: 0 = Online, 1=Offline</t>
  </si>
  <si>
    <t>Number Increments</t>
  </si>
  <si>
    <t>Pre /RLTD Time for /RLSC --&gt; Leave at Zero</t>
  </si>
  <si>
    <t xml:space="preserve">Set the number of times to increment Alpha and Beta before starting from the beginning. </t>
  </si>
  <si>
    <t>[1] Set this value to zero when not running stress test</t>
  </si>
  <si>
    <t>Set the value to increment Alpha for each /RLTD Transaction</t>
  </si>
  <si>
    <t>Last version to affect the register map: 1.5</t>
  </si>
  <si>
    <t>Cycle Repeat Time</t>
  </si>
  <si>
    <t>Number of Cycles</t>
  </si>
  <si>
    <r>
      <rPr>
        <b/>
        <sz val="11"/>
        <color theme="1"/>
        <rFont val="Arial"/>
        <family val="2"/>
      </rPr>
      <t>[2]</t>
    </r>
    <r>
      <rPr>
        <sz val="11"/>
        <color theme="1"/>
        <rFont val="Arial"/>
        <family val="2"/>
      </rPr>
      <t xml:space="preserve"> When this bit is one the TU will no longer send commands to the ATB or read status information from the ATB</t>
    </r>
  </si>
  <si>
    <t>Cycle Repeat time in counts.  Time between repeating the RLTDs for RLTDS runs at RLTD period</t>
  </si>
  <si>
    <t>Set the number of times the /RLTD runs at /RLTD period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</si>
</sst>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ourier New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8" fillId="0" borderId="1" xfId="0" applyFont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0" borderId="0" xfId="0" applyFont="1" applyAlignment="1">
      <alignment horizontal="right"/>
    </xf>
    <xf numFmtId="0" fontId="8" fillId="3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0" xfId="0" applyAlignment="1">
      <alignment horizontal="right"/>
    </xf>
    <xf numFmtId="0" fontId="0" fillId="6" borderId="1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</xdr:row>
      <xdr:rowOff>47625</xdr:rowOff>
    </xdr:from>
    <xdr:to>
      <xdr:col>1</xdr:col>
      <xdr:colOff>5991225</xdr:colOff>
      <xdr:row>6</xdr:row>
      <xdr:rowOff>552450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E1A80E-FA86-95B4-5CC3-9E5DB2065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381125"/>
          <a:ext cx="59436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7</xdr:row>
      <xdr:rowOff>19050</xdr:rowOff>
    </xdr:from>
    <xdr:to>
      <xdr:col>1</xdr:col>
      <xdr:colOff>5962650</xdr:colOff>
      <xdr:row>7</xdr:row>
      <xdr:rowOff>323850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E9439F-8A5F-F3C4-C631-1B4663BE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"/>
          <a:ext cx="5943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47625</xdr:rowOff>
    </xdr:from>
    <xdr:to>
      <xdr:col>1</xdr:col>
      <xdr:colOff>5943600</xdr:colOff>
      <xdr:row>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091EE-C75E-AF76-525C-F1EA0B49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381125"/>
          <a:ext cx="5943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95250</xdr:rowOff>
    </xdr:from>
    <xdr:to>
      <xdr:col>1</xdr:col>
      <xdr:colOff>3971925</xdr:colOff>
      <xdr:row>7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F197-5953-43A5-8A64-BFB8E3C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"/>
          <a:ext cx="39528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1847850</xdr:colOff>
      <xdr:row>9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6D46-7D9E-42D9-9E0F-09C2509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733675"/>
          <a:ext cx="1809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66675</xdr:rowOff>
    </xdr:from>
    <xdr:to>
      <xdr:col>1</xdr:col>
      <xdr:colOff>1800225</xdr:colOff>
      <xdr:row>7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6E9F6-34DA-80FC-642D-3563C341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038350"/>
          <a:ext cx="1638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257175</xdr:colOff>
      <xdr:row>9</xdr:row>
      <xdr:rowOff>57150</xdr:rowOff>
    </xdr:from>
    <xdr:to>
      <xdr:col>1</xdr:col>
      <xdr:colOff>2276475</xdr:colOff>
      <xdr:row>9</xdr:row>
      <xdr:rowOff>390525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B215D2-2C5D-3396-F7A7-F0B5B35D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24150"/>
          <a:ext cx="2019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tabSelected="1" workbookViewId="0"/>
  </sheetViews>
  <sheetFormatPr defaultRowHeight="15" x14ac:dyDescent="0.25"/>
  <cols>
    <col min="1" max="1" width="5.28515625" customWidth="1"/>
    <col min="2" max="2" width="11.42578125" customWidth="1"/>
    <col min="3" max="3" width="16" customWidth="1"/>
    <col min="4" max="4" width="71.7109375" customWidth="1"/>
    <col min="5" max="5" width="15.5703125" customWidth="1"/>
  </cols>
  <sheetData>
    <row r="2" spans="2:5" x14ac:dyDescent="0.25">
      <c r="B2" s="12" t="s">
        <v>10</v>
      </c>
      <c r="C2" s="12" t="s">
        <v>11</v>
      </c>
      <c r="D2" s="12" t="s">
        <v>3</v>
      </c>
      <c r="E2" s="13" t="s">
        <v>12</v>
      </c>
    </row>
    <row r="3" spans="2:5" x14ac:dyDescent="0.25">
      <c r="B3" s="10">
        <v>0</v>
      </c>
      <c r="C3" s="3" t="str">
        <f>"0x"&amp;DEC2HEX((B3)*4,4)</f>
        <v>0x0000</v>
      </c>
      <c r="D3" s="3" t="s">
        <v>13</v>
      </c>
      <c r="E3" s="3" t="s">
        <v>14</v>
      </c>
    </row>
    <row r="4" spans="2:5" x14ac:dyDescent="0.25">
      <c r="B4" s="10">
        <f>B3+1</f>
        <v>1</v>
      </c>
      <c r="C4" s="3" t="str">
        <f t="shared" ref="C4:C34" si="0">"0x"&amp;DEC2HEX((B4)*4,4)</f>
        <v>0x0004</v>
      </c>
      <c r="D4" s="3" t="s">
        <v>28</v>
      </c>
      <c r="E4" s="3" t="s">
        <v>14</v>
      </c>
    </row>
    <row r="5" spans="2:5" x14ac:dyDescent="0.25">
      <c r="B5" s="10">
        <f t="shared" ref="B5:B34" si="1">B4+1</f>
        <v>2</v>
      </c>
      <c r="C5" s="3" t="str">
        <f t="shared" si="0"/>
        <v>0x0008</v>
      </c>
      <c r="D5" s="3" t="s">
        <v>33</v>
      </c>
      <c r="E5" s="3" t="s">
        <v>15</v>
      </c>
    </row>
    <row r="6" spans="2:5" x14ac:dyDescent="0.25">
      <c r="B6" s="10">
        <f t="shared" si="1"/>
        <v>3</v>
      </c>
      <c r="C6" s="3" t="str">
        <f t="shared" si="0"/>
        <v>0x000C</v>
      </c>
      <c r="D6" s="3" t="s">
        <v>98</v>
      </c>
      <c r="E6" s="3" t="s">
        <v>15</v>
      </c>
    </row>
    <row r="7" spans="2:5" x14ac:dyDescent="0.25">
      <c r="B7" s="10">
        <f t="shared" si="1"/>
        <v>4</v>
      </c>
      <c r="C7" s="3" t="str">
        <f t="shared" si="0"/>
        <v>0x0010</v>
      </c>
      <c r="D7" s="3" t="s">
        <v>99</v>
      </c>
      <c r="E7" s="3" t="s">
        <v>15</v>
      </c>
    </row>
    <row r="8" spans="2:5" x14ac:dyDescent="0.25">
      <c r="B8" s="10">
        <f t="shared" si="1"/>
        <v>5</v>
      </c>
      <c r="C8" s="3" t="str">
        <f t="shared" si="0"/>
        <v>0x0014</v>
      </c>
      <c r="D8" s="3" t="s">
        <v>16</v>
      </c>
      <c r="E8" s="3" t="s">
        <v>15</v>
      </c>
    </row>
    <row r="9" spans="2:5" x14ac:dyDescent="0.25">
      <c r="B9" s="10">
        <f t="shared" si="1"/>
        <v>6</v>
      </c>
      <c r="C9" s="3" t="str">
        <f t="shared" si="0"/>
        <v>0x0018</v>
      </c>
      <c r="D9" s="3" t="s">
        <v>16</v>
      </c>
      <c r="E9" s="3" t="s">
        <v>15</v>
      </c>
    </row>
    <row r="10" spans="2:5" x14ac:dyDescent="0.25">
      <c r="B10" s="10">
        <f t="shared" si="1"/>
        <v>7</v>
      </c>
      <c r="C10" s="3" t="str">
        <f t="shared" si="0"/>
        <v>0x001C</v>
      </c>
      <c r="D10" s="3" t="s">
        <v>43</v>
      </c>
      <c r="E10" s="3" t="s">
        <v>14</v>
      </c>
    </row>
    <row r="11" spans="2:5" x14ac:dyDescent="0.25">
      <c r="B11" s="10">
        <f t="shared" si="1"/>
        <v>8</v>
      </c>
      <c r="C11" s="3" t="str">
        <f t="shared" si="0"/>
        <v>0x0020</v>
      </c>
      <c r="D11" s="3" t="s">
        <v>51</v>
      </c>
      <c r="E11" s="3" t="s">
        <v>14</v>
      </c>
    </row>
    <row r="12" spans="2:5" x14ac:dyDescent="0.25">
      <c r="B12" s="10">
        <f t="shared" si="1"/>
        <v>9</v>
      </c>
      <c r="C12" s="3" t="str">
        <f t="shared" si="0"/>
        <v>0x0024</v>
      </c>
      <c r="D12" s="3" t="s">
        <v>16</v>
      </c>
      <c r="E12" s="3" t="s">
        <v>15</v>
      </c>
    </row>
    <row r="13" spans="2:5" x14ac:dyDescent="0.25">
      <c r="B13" s="10">
        <f t="shared" si="1"/>
        <v>10</v>
      </c>
      <c r="C13" s="3" t="str">
        <f t="shared" si="0"/>
        <v>0x0028</v>
      </c>
      <c r="D13" s="3" t="s">
        <v>16</v>
      </c>
      <c r="E13" s="3" t="s">
        <v>15</v>
      </c>
    </row>
    <row r="14" spans="2:5" x14ac:dyDescent="0.25">
      <c r="B14" s="10">
        <f t="shared" si="1"/>
        <v>11</v>
      </c>
      <c r="C14" s="3" t="str">
        <f t="shared" si="0"/>
        <v>0x002C</v>
      </c>
      <c r="D14" s="3" t="s">
        <v>65</v>
      </c>
      <c r="E14" s="3" t="s">
        <v>15</v>
      </c>
    </row>
    <row r="15" spans="2:5" x14ac:dyDescent="0.25">
      <c r="B15" s="10">
        <f t="shared" si="1"/>
        <v>12</v>
      </c>
      <c r="C15" s="3" t="str">
        <f t="shared" si="0"/>
        <v>0x0030</v>
      </c>
      <c r="D15" s="3" t="s">
        <v>100</v>
      </c>
      <c r="E15" s="3" t="s">
        <v>14</v>
      </c>
    </row>
    <row r="16" spans="2:5" x14ac:dyDescent="0.25">
      <c r="B16" s="10">
        <f t="shared" si="1"/>
        <v>13</v>
      </c>
      <c r="C16" s="3" t="str">
        <f t="shared" si="0"/>
        <v>0x0034</v>
      </c>
      <c r="D16" s="3" t="s">
        <v>101</v>
      </c>
      <c r="E16" s="3" t="s">
        <v>14</v>
      </c>
    </row>
    <row r="17" spans="2:5" x14ac:dyDescent="0.25">
      <c r="B17" s="10">
        <f t="shared" si="1"/>
        <v>14</v>
      </c>
      <c r="C17" s="3" t="str">
        <f t="shared" si="0"/>
        <v>0x0038</v>
      </c>
      <c r="D17" s="3" t="s">
        <v>110</v>
      </c>
      <c r="E17" s="3" t="s">
        <v>15</v>
      </c>
    </row>
    <row r="18" spans="2:5" x14ac:dyDescent="0.25">
      <c r="B18" s="10">
        <f t="shared" si="1"/>
        <v>15</v>
      </c>
      <c r="C18" s="3" t="str">
        <f t="shared" si="0"/>
        <v>0x003C</v>
      </c>
      <c r="D18" s="3" t="s">
        <v>114</v>
      </c>
      <c r="E18" s="3" t="s">
        <v>15</v>
      </c>
    </row>
    <row r="19" spans="2:5" x14ac:dyDescent="0.25">
      <c r="B19" s="10">
        <f t="shared" si="1"/>
        <v>16</v>
      </c>
      <c r="C19" s="3" t="str">
        <f t="shared" si="0"/>
        <v>0x0040</v>
      </c>
      <c r="D19" s="3" t="s">
        <v>115</v>
      </c>
      <c r="E19" s="3" t="s">
        <v>15</v>
      </c>
    </row>
    <row r="20" spans="2:5" x14ac:dyDescent="0.25">
      <c r="B20" s="10">
        <f t="shared" si="1"/>
        <v>17</v>
      </c>
      <c r="C20" s="3" t="str">
        <f t="shared" si="0"/>
        <v>0x0044</v>
      </c>
      <c r="D20" s="3" t="s">
        <v>113</v>
      </c>
      <c r="E20" s="3" t="s">
        <v>15</v>
      </c>
    </row>
    <row r="21" spans="2:5" x14ac:dyDescent="0.25">
      <c r="B21" s="10">
        <f t="shared" si="1"/>
        <v>18</v>
      </c>
      <c r="C21" s="3" t="str">
        <f t="shared" si="0"/>
        <v>0x0048</v>
      </c>
      <c r="D21" s="3" t="s">
        <v>162</v>
      </c>
      <c r="E21" s="3" t="s">
        <v>15</v>
      </c>
    </row>
    <row r="22" spans="2:5" x14ac:dyDescent="0.25">
      <c r="B22" s="10">
        <f t="shared" si="1"/>
        <v>19</v>
      </c>
      <c r="C22" s="3" t="str">
        <f t="shared" si="0"/>
        <v>0x004C</v>
      </c>
      <c r="D22" s="3" t="s">
        <v>163</v>
      </c>
      <c r="E22" s="3" t="s">
        <v>15</v>
      </c>
    </row>
    <row r="23" spans="2:5" x14ac:dyDescent="0.25">
      <c r="B23" s="10">
        <f t="shared" si="1"/>
        <v>20</v>
      </c>
      <c r="C23" s="3" t="str">
        <f t="shared" si="0"/>
        <v>0x0050</v>
      </c>
      <c r="D23" s="3" t="s">
        <v>169</v>
      </c>
      <c r="E23" s="3" t="s">
        <v>15</v>
      </c>
    </row>
    <row r="24" spans="2:5" x14ac:dyDescent="0.25">
      <c r="B24" s="10">
        <f t="shared" si="1"/>
        <v>21</v>
      </c>
      <c r="C24" s="3" t="str">
        <f t="shared" si="0"/>
        <v>0x0054</v>
      </c>
      <c r="D24" s="3" t="s">
        <v>168</v>
      </c>
      <c r="E24" s="3" t="s">
        <v>15</v>
      </c>
    </row>
    <row r="25" spans="2:5" x14ac:dyDescent="0.25">
      <c r="B25" s="10">
        <f t="shared" si="1"/>
        <v>22</v>
      </c>
      <c r="C25" s="3" t="str">
        <f t="shared" si="0"/>
        <v>0x0058</v>
      </c>
      <c r="D25" s="3" t="s">
        <v>164</v>
      </c>
      <c r="E25" s="3" t="s">
        <v>15</v>
      </c>
    </row>
    <row r="26" spans="2:5" x14ac:dyDescent="0.25">
      <c r="B26" s="10">
        <f t="shared" si="1"/>
        <v>23</v>
      </c>
      <c r="C26" s="3" t="str">
        <f t="shared" si="0"/>
        <v>0x005C</v>
      </c>
      <c r="D26" s="3" t="s">
        <v>165</v>
      </c>
      <c r="E26" s="3" t="s">
        <v>15</v>
      </c>
    </row>
    <row r="27" spans="2:5" x14ac:dyDescent="0.25">
      <c r="B27" s="10">
        <f t="shared" si="1"/>
        <v>24</v>
      </c>
      <c r="C27" s="3" t="str">
        <f t="shared" si="0"/>
        <v>0x0060</v>
      </c>
      <c r="D27" s="36" t="s">
        <v>174</v>
      </c>
      <c r="E27" s="3" t="s">
        <v>15</v>
      </c>
    </row>
    <row r="28" spans="2:5" x14ac:dyDescent="0.25">
      <c r="B28" s="10">
        <f t="shared" si="1"/>
        <v>25</v>
      </c>
      <c r="C28" s="3" t="str">
        <f t="shared" si="0"/>
        <v>0x0064</v>
      </c>
      <c r="D28" s="36" t="s">
        <v>175</v>
      </c>
      <c r="E28" s="3" t="s">
        <v>15</v>
      </c>
    </row>
    <row r="29" spans="2:5" x14ac:dyDescent="0.25">
      <c r="B29" s="10">
        <f t="shared" si="1"/>
        <v>26</v>
      </c>
      <c r="C29" s="3" t="str">
        <f t="shared" si="0"/>
        <v>0x0068</v>
      </c>
      <c r="D29" s="3" t="s">
        <v>16</v>
      </c>
      <c r="E29" s="3" t="s">
        <v>15</v>
      </c>
    </row>
    <row r="30" spans="2:5" x14ac:dyDescent="0.25">
      <c r="B30" s="10">
        <f t="shared" si="1"/>
        <v>27</v>
      </c>
      <c r="C30" s="3" t="str">
        <f t="shared" si="0"/>
        <v>0x006C</v>
      </c>
      <c r="D30" s="3" t="s">
        <v>29</v>
      </c>
      <c r="E30" s="3" t="s">
        <v>14</v>
      </c>
    </row>
    <row r="31" spans="2:5" x14ac:dyDescent="0.25">
      <c r="B31" s="10">
        <f t="shared" si="1"/>
        <v>28</v>
      </c>
      <c r="C31" s="3" t="str">
        <f t="shared" si="0"/>
        <v>0x0070</v>
      </c>
      <c r="D31" s="3" t="s">
        <v>34</v>
      </c>
      <c r="E31" s="3" t="s">
        <v>14</v>
      </c>
    </row>
    <row r="32" spans="2:5" x14ac:dyDescent="0.25">
      <c r="B32" s="10">
        <f t="shared" si="1"/>
        <v>29</v>
      </c>
      <c r="C32" s="3" t="str">
        <f t="shared" si="0"/>
        <v>0x0074</v>
      </c>
      <c r="D32" s="3" t="s">
        <v>66</v>
      </c>
      <c r="E32" s="3" t="s">
        <v>14</v>
      </c>
    </row>
    <row r="33" spans="2:5" x14ac:dyDescent="0.25">
      <c r="B33" s="10">
        <f t="shared" si="1"/>
        <v>30</v>
      </c>
      <c r="C33" s="3" t="str">
        <f t="shared" si="0"/>
        <v>0x0078</v>
      </c>
      <c r="D33" s="3" t="s">
        <v>40</v>
      </c>
      <c r="E33" s="3" t="s">
        <v>14</v>
      </c>
    </row>
    <row r="34" spans="2:5" x14ac:dyDescent="0.25">
      <c r="B34" s="10">
        <f t="shared" si="1"/>
        <v>31</v>
      </c>
      <c r="C34" s="3" t="str">
        <f t="shared" si="0"/>
        <v>0x007C</v>
      </c>
      <c r="D34" s="3" t="s">
        <v>9</v>
      </c>
      <c r="E3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/>
  </sheetViews>
  <sheetFormatPr defaultRowHeight="15" x14ac:dyDescent="0.25"/>
  <cols>
    <col min="1" max="1" width="11.140625" style="1" customWidth="1"/>
    <col min="2" max="2" width="76.42578125" customWidth="1"/>
    <col min="3" max="3" width="12.5703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6</v>
      </c>
      <c r="B3" s="16" t="s">
        <v>2</v>
      </c>
      <c r="C3" s="17"/>
      <c r="D3" s="17"/>
      <c r="E3" s="17"/>
    </row>
    <row r="4" spans="1:5" x14ac:dyDescent="0.25">
      <c r="A4" s="10" t="s">
        <v>5</v>
      </c>
      <c r="B4" s="3" t="s">
        <v>17</v>
      </c>
      <c r="C4" s="3" t="s">
        <v>18</v>
      </c>
      <c r="D4" s="10" t="s">
        <v>19</v>
      </c>
      <c r="E4" s="10"/>
    </row>
    <row r="6" spans="1:5" x14ac:dyDescent="0.25">
      <c r="B6" s="5" t="s">
        <v>7</v>
      </c>
    </row>
    <row r="7" spans="1:5" ht="15" customHeight="1" x14ac:dyDescent="0.25">
      <c r="B7" s="9" t="s">
        <v>173</v>
      </c>
    </row>
    <row r="8" spans="1:5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6"/>
  <sheetViews>
    <sheetView workbookViewId="0"/>
  </sheetViews>
  <sheetFormatPr defaultRowHeight="15" x14ac:dyDescent="0.25"/>
  <cols>
    <col min="1" max="1" width="11.140625" style="1" customWidth="1"/>
    <col min="2" max="2" width="89.85546875" customWidth="1"/>
    <col min="3" max="3" width="11.5703125" customWidth="1"/>
    <col min="4" max="4" width="9.140625" customWidth="1"/>
    <col min="5" max="5" width="7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>
        <v>31</v>
      </c>
      <c r="B3" s="20" t="s">
        <v>53</v>
      </c>
      <c r="C3" s="17" t="s">
        <v>14</v>
      </c>
      <c r="D3" s="18">
        <v>0</v>
      </c>
      <c r="E3" s="23">
        <v>3</v>
      </c>
    </row>
    <row r="4" spans="1:5" x14ac:dyDescent="0.25">
      <c r="A4" s="10" t="s">
        <v>91</v>
      </c>
      <c r="B4" s="19" t="s">
        <v>2</v>
      </c>
      <c r="C4" s="3"/>
      <c r="D4" s="10"/>
      <c r="E4" s="10"/>
    </row>
    <row r="5" spans="1:5" x14ac:dyDescent="0.25">
      <c r="A5" s="18">
        <v>5</v>
      </c>
      <c r="B5" s="17" t="s">
        <v>87</v>
      </c>
      <c r="C5" s="32" t="s">
        <v>14</v>
      </c>
      <c r="D5" s="18">
        <v>0</v>
      </c>
      <c r="E5" s="18">
        <v>1</v>
      </c>
    </row>
    <row r="6" spans="1:5" x14ac:dyDescent="0.25">
      <c r="A6" s="10">
        <v>4</v>
      </c>
      <c r="B6" s="3" t="s">
        <v>38</v>
      </c>
      <c r="C6" s="28" t="s">
        <v>14</v>
      </c>
      <c r="D6" s="10">
        <v>0</v>
      </c>
      <c r="E6" s="10">
        <v>2</v>
      </c>
    </row>
    <row r="7" spans="1:5" x14ac:dyDescent="0.25">
      <c r="A7" s="18">
        <v>3</v>
      </c>
      <c r="B7" s="17" t="s">
        <v>37</v>
      </c>
      <c r="C7" s="32" t="s">
        <v>14</v>
      </c>
      <c r="D7" s="18">
        <v>0</v>
      </c>
      <c r="E7" s="18">
        <v>2</v>
      </c>
    </row>
    <row r="8" spans="1:5" x14ac:dyDescent="0.25">
      <c r="A8" s="10">
        <v>2</v>
      </c>
      <c r="B8" s="3" t="s">
        <v>36</v>
      </c>
      <c r="C8" s="28" t="s">
        <v>14</v>
      </c>
      <c r="D8" s="10">
        <v>0</v>
      </c>
      <c r="E8" s="10">
        <v>2</v>
      </c>
    </row>
    <row r="9" spans="1:5" x14ac:dyDescent="0.25">
      <c r="A9" s="18">
        <v>1</v>
      </c>
      <c r="B9" s="17" t="s">
        <v>35</v>
      </c>
      <c r="C9" s="32" t="s">
        <v>14</v>
      </c>
      <c r="D9" s="18">
        <v>0</v>
      </c>
      <c r="E9" s="18">
        <v>1</v>
      </c>
    </row>
    <row r="10" spans="1:5" x14ac:dyDescent="0.25">
      <c r="A10" s="10">
        <v>0</v>
      </c>
      <c r="B10" s="3" t="s">
        <v>50</v>
      </c>
      <c r="C10" s="28" t="s">
        <v>14</v>
      </c>
      <c r="D10" s="10">
        <v>0</v>
      </c>
      <c r="E10" s="10"/>
    </row>
    <row r="12" spans="1:5" x14ac:dyDescent="0.25">
      <c r="B12" s="5" t="s">
        <v>7</v>
      </c>
    </row>
    <row r="13" spans="1:5" x14ac:dyDescent="0.25">
      <c r="B13" s="7"/>
    </row>
    <row r="14" spans="1:5" ht="75" x14ac:dyDescent="0.25">
      <c r="B14" s="7" t="s">
        <v>88</v>
      </c>
    </row>
    <row r="15" spans="1:5" ht="60" x14ac:dyDescent="0.25">
      <c r="B15" s="7" t="s">
        <v>90</v>
      </c>
    </row>
    <row r="16" spans="1:5" x14ac:dyDescent="0.25">
      <c r="B16" s="7" t="s">
        <v>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22"/>
  <sheetViews>
    <sheetView workbookViewId="0"/>
  </sheetViews>
  <sheetFormatPr defaultRowHeight="15" x14ac:dyDescent="0.25"/>
  <cols>
    <col min="1" max="1" width="11.140625" style="1" customWidth="1"/>
    <col min="2" max="2" width="124.140625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>
        <v>31</v>
      </c>
      <c r="B3" s="16" t="s">
        <v>39</v>
      </c>
      <c r="C3" s="17" t="s">
        <v>23</v>
      </c>
      <c r="D3" s="18">
        <v>0</v>
      </c>
      <c r="E3" s="18"/>
    </row>
    <row r="4" spans="1:5" ht="15" customHeight="1" x14ac:dyDescent="0.25">
      <c r="A4" s="24" t="s">
        <v>95</v>
      </c>
      <c r="B4" s="6" t="s">
        <v>2</v>
      </c>
      <c r="C4" s="3" t="s">
        <v>23</v>
      </c>
      <c r="D4" s="10">
        <v>0</v>
      </c>
      <c r="E4" s="10"/>
    </row>
    <row r="5" spans="1:5" ht="15" customHeight="1" x14ac:dyDescent="0.25">
      <c r="A5" s="15" t="s">
        <v>94</v>
      </c>
      <c r="B5" s="16" t="s">
        <v>30</v>
      </c>
      <c r="C5" s="17" t="s">
        <v>23</v>
      </c>
      <c r="D5" s="18">
        <v>0</v>
      </c>
      <c r="E5" s="18"/>
    </row>
    <row r="6" spans="1:5" ht="68.25" customHeight="1" x14ac:dyDescent="0.25">
      <c r="A6" s="24" t="s">
        <v>93</v>
      </c>
      <c r="B6" s="6" t="s">
        <v>96</v>
      </c>
      <c r="C6" s="3" t="s">
        <v>23</v>
      </c>
      <c r="D6" s="10" t="s">
        <v>63</v>
      </c>
      <c r="E6" s="10"/>
    </row>
    <row r="7" spans="1:5" ht="15" customHeight="1" x14ac:dyDescent="0.25">
      <c r="A7" s="15" t="s">
        <v>25</v>
      </c>
      <c r="B7" s="16" t="s">
        <v>30</v>
      </c>
      <c r="C7" s="17" t="s">
        <v>23</v>
      </c>
      <c r="D7" s="18">
        <v>0</v>
      </c>
      <c r="E7" s="18"/>
    </row>
    <row r="8" spans="1:5" ht="15" customHeight="1" x14ac:dyDescent="0.25">
      <c r="A8" s="24">
        <v>12</v>
      </c>
      <c r="B8" s="6" t="s">
        <v>92</v>
      </c>
      <c r="C8" s="3" t="s">
        <v>23</v>
      </c>
      <c r="D8" s="10">
        <v>0</v>
      </c>
      <c r="E8" s="10">
        <v>2</v>
      </c>
    </row>
    <row r="9" spans="1:5" ht="15" customHeight="1" x14ac:dyDescent="0.25">
      <c r="A9" s="15" t="s">
        <v>97</v>
      </c>
      <c r="B9" s="16" t="s">
        <v>30</v>
      </c>
      <c r="C9" s="17" t="s">
        <v>23</v>
      </c>
      <c r="D9" s="18">
        <v>0</v>
      </c>
      <c r="E9" s="18"/>
    </row>
    <row r="10" spans="1:5" ht="68.45" customHeight="1" x14ac:dyDescent="0.25">
      <c r="A10" s="24">
        <v>9.8000000000000007</v>
      </c>
      <c r="B10" s="6" t="s">
        <v>102</v>
      </c>
      <c r="C10" s="3" t="s">
        <v>23</v>
      </c>
      <c r="D10" s="10" t="s">
        <v>63</v>
      </c>
      <c r="E10" s="10"/>
    </row>
    <row r="11" spans="1:5" ht="15" customHeight="1" x14ac:dyDescent="0.25">
      <c r="A11" s="15">
        <v>7</v>
      </c>
      <c r="B11" s="16" t="s">
        <v>167</v>
      </c>
      <c r="C11" s="17" t="s">
        <v>23</v>
      </c>
      <c r="D11" s="18">
        <v>0</v>
      </c>
      <c r="E11" s="18"/>
    </row>
    <row r="12" spans="1:5" ht="69" customHeight="1" x14ac:dyDescent="0.25">
      <c r="A12" s="24" t="s">
        <v>61</v>
      </c>
      <c r="B12" s="6" t="s">
        <v>103</v>
      </c>
      <c r="C12" s="3" t="s">
        <v>23</v>
      </c>
      <c r="D12" s="10" t="s">
        <v>64</v>
      </c>
      <c r="E12" s="10"/>
    </row>
    <row r="13" spans="1:5" ht="15" customHeight="1" x14ac:dyDescent="0.25">
      <c r="A13" s="15">
        <v>4</v>
      </c>
      <c r="B13" s="16" t="s">
        <v>166</v>
      </c>
      <c r="C13" s="17" t="s">
        <v>23</v>
      </c>
      <c r="D13" s="18">
        <v>1</v>
      </c>
      <c r="E13" s="18"/>
    </row>
    <row r="14" spans="1:5" ht="15" customHeight="1" x14ac:dyDescent="0.25">
      <c r="A14" s="24">
        <v>3</v>
      </c>
      <c r="B14" s="6" t="s">
        <v>30</v>
      </c>
      <c r="C14" s="3" t="s">
        <v>23</v>
      </c>
      <c r="D14" s="10">
        <v>0</v>
      </c>
      <c r="E14" s="10"/>
    </row>
    <row r="15" spans="1:5" ht="15" customHeight="1" x14ac:dyDescent="0.25">
      <c r="A15" s="15">
        <v>2</v>
      </c>
      <c r="B15" s="16" t="s">
        <v>122</v>
      </c>
      <c r="C15" s="17" t="s">
        <v>23</v>
      </c>
      <c r="D15" s="18">
        <v>0</v>
      </c>
      <c r="E15" s="18">
        <v>1</v>
      </c>
    </row>
    <row r="16" spans="1:5" ht="15" customHeight="1" x14ac:dyDescent="0.25">
      <c r="A16" s="24">
        <v>1</v>
      </c>
      <c r="B16" s="6" t="s">
        <v>30</v>
      </c>
      <c r="C16" s="3" t="s">
        <v>23</v>
      </c>
      <c r="D16" s="10">
        <v>0</v>
      </c>
      <c r="E16" s="10"/>
    </row>
    <row r="17" spans="1:5" ht="15" customHeight="1" x14ac:dyDescent="0.25">
      <c r="A17" s="15">
        <v>0</v>
      </c>
      <c r="B17" s="16" t="s">
        <v>30</v>
      </c>
      <c r="C17" s="17" t="s">
        <v>23</v>
      </c>
      <c r="D17" s="18">
        <v>0</v>
      </c>
      <c r="E17" s="18"/>
    </row>
    <row r="18" spans="1:5" ht="15" customHeight="1" x14ac:dyDescent="0.25">
      <c r="A18" s="25"/>
      <c r="B18" s="4"/>
      <c r="D18" s="22"/>
      <c r="E18" s="22"/>
    </row>
    <row r="20" spans="1:5" x14ac:dyDescent="0.25">
      <c r="B20" s="11" t="s">
        <v>7</v>
      </c>
    </row>
    <row r="21" spans="1:5" ht="72.75" x14ac:dyDescent="0.25">
      <c r="B21" s="26" t="s">
        <v>117</v>
      </c>
    </row>
    <row r="22" spans="1:5" x14ac:dyDescent="0.25">
      <c r="B22" s="26" t="s">
        <v>176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E7B-A1B0-494F-9CB9-3EBE05669CEA}">
  <dimension ref="A2:E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32</v>
      </c>
      <c r="B3" s="20" t="s">
        <v>60</v>
      </c>
      <c r="C3" s="17" t="s">
        <v>23</v>
      </c>
      <c r="D3" s="18"/>
      <c r="E3" s="18"/>
    </row>
    <row r="4" spans="1:5" x14ac:dyDescent="0.25">
      <c r="A4" s="10" t="s">
        <v>31</v>
      </c>
      <c r="B4" s="3" t="s">
        <v>59</v>
      </c>
      <c r="C4" s="3" t="s">
        <v>23</v>
      </c>
      <c r="D4" s="10">
        <v>0</v>
      </c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4320-DA2C-4E0A-AD8B-18F55EF76D02}">
  <dimension ref="A2:E11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44</v>
      </c>
      <c r="B3" s="16" t="s">
        <v>2</v>
      </c>
      <c r="C3" s="17" t="s">
        <v>19</v>
      </c>
      <c r="D3" s="18">
        <v>0</v>
      </c>
      <c r="E3" s="18"/>
    </row>
    <row r="4" spans="1:5" x14ac:dyDescent="0.25">
      <c r="A4" s="24">
        <v>4</v>
      </c>
      <c r="B4" s="6" t="s">
        <v>45</v>
      </c>
      <c r="C4" s="3" t="s">
        <v>14</v>
      </c>
      <c r="D4" s="10"/>
      <c r="E4" s="10"/>
    </row>
    <row r="5" spans="1:5" x14ac:dyDescent="0.25">
      <c r="A5" s="15">
        <v>3</v>
      </c>
      <c r="B5" s="16" t="s">
        <v>46</v>
      </c>
      <c r="C5" s="17" t="s">
        <v>14</v>
      </c>
      <c r="D5" s="18"/>
      <c r="E5" s="18"/>
    </row>
    <row r="6" spans="1:5" x14ac:dyDescent="0.25">
      <c r="A6" s="24">
        <v>2</v>
      </c>
      <c r="B6" s="6" t="s">
        <v>47</v>
      </c>
      <c r="C6" s="3" t="s">
        <v>14</v>
      </c>
      <c r="D6" s="10"/>
      <c r="E6" s="10"/>
    </row>
    <row r="7" spans="1:5" x14ac:dyDescent="0.25">
      <c r="A7" s="15">
        <v>1</v>
      </c>
      <c r="B7" s="16" t="s">
        <v>48</v>
      </c>
      <c r="C7" s="17" t="s">
        <v>14</v>
      </c>
      <c r="D7" s="18">
        <v>0</v>
      </c>
      <c r="E7" s="18"/>
    </row>
    <row r="8" spans="1:5" x14ac:dyDescent="0.25">
      <c r="A8" s="24">
        <v>0</v>
      </c>
      <c r="B8" s="6" t="s">
        <v>49</v>
      </c>
      <c r="C8" s="3" t="s">
        <v>14</v>
      </c>
      <c r="D8" s="10">
        <v>0</v>
      </c>
      <c r="E8" s="10"/>
    </row>
    <row r="9" spans="1:5" x14ac:dyDescent="0.25">
      <c r="A9" s="25"/>
      <c r="B9" s="4"/>
      <c r="D9" s="22"/>
      <c r="E9" s="22"/>
    </row>
    <row r="11" spans="1:5" x14ac:dyDescent="0.25">
      <c r="B11" s="11" t="s">
        <v>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2709-FD1F-472D-BEB9-448A2B1AE61A}">
  <dimension ref="A2:E1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56</v>
      </c>
      <c r="B3" s="16" t="s">
        <v>2</v>
      </c>
      <c r="C3" s="17" t="s">
        <v>19</v>
      </c>
      <c r="D3" s="18">
        <v>0</v>
      </c>
      <c r="E3" s="18"/>
    </row>
    <row r="4" spans="1:5" x14ac:dyDescent="0.25">
      <c r="A4" s="24" t="s">
        <v>97</v>
      </c>
      <c r="B4" s="6" t="s">
        <v>30</v>
      </c>
      <c r="C4" s="3"/>
      <c r="D4" s="10"/>
      <c r="E4" s="10"/>
    </row>
    <row r="5" spans="1:5" x14ac:dyDescent="0.25">
      <c r="A5" s="15">
        <v>9</v>
      </c>
      <c r="B5" s="16" t="s">
        <v>30</v>
      </c>
      <c r="C5" s="17" t="s">
        <v>14</v>
      </c>
      <c r="D5" s="18">
        <v>0</v>
      </c>
      <c r="E5" s="18"/>
    </row>
    <row r="6" spans="1:5" x14ac:dyDescent="0.25">
      <c r="A6" s="24">
        <v>8</v>
      </c>
      <c r="B6" s="6" t="s">
        <v>30</v>
      </c>
      <c r="C6" s="3" t="s">
        <v>14</v>
      </c>
      <c r="D6" s="10">
        <v>0</v>
      </c>
      <c r="E6" s="10"/>
    </row>
    <row r="7" spans="1:5" x14ac:dyDescent="0.25">
      <c r="A7" s="15" t="s">
        <v>55</v>
      </c>
      <c r="B7" s="16" t="s">
        <v>30</v>
      </c>
      <c r="C7" s="17" t="s">
        <v>14</v>
      </c>
      <c r="D7" s="18">
        <v>0</v>
      </c>
      <c r="E7" s="18"/>
    </row>
    <row r="8" spans="1:5" x14ac:dyDescent="0.25">
      <c r="A8" s="24">
        <v>5</v>
      </c>
      <c r="B8" s="6" t="s">
        <v>58</v>
      </c>
      <c r="C8" s="3" t="s">
        <v>14</v>
      </c>
      <c r="D8" s="10">
        <v>0</v>
      </c>
      <c r="E8" s="10"/>
    </row>
    <row r="9" spans="1:5" x14ac:dyDescent="0.25">
      <c r="A9" s="15">
        <v>4</v>
      </c>
      <c r="B9" s="16" t="s">
        <v>57</v>
      </c>
      <c r="C9" s="17" t="s">
        <v>14</v>
      </c>
      <c r="D9" s="18">
        <v>0</v>
      </c>
      <c r="E9" s="18"/>
    </row>
    <row r="10" spans="1:5" x14ac:dyDescent="0.25">
      <c r="A10" s="24">
        <v>3</v>
      </c>
      <c r="B10" s="6" t="s">
        <v>30</v>
      </c>
      <c r="C10" s="3" t="s">
        <v>14</v>
      </c>
      <c r="D10" s="10">
        <v>0</v>
      </c>
      <c r="E10" s="10"/>
    </row>
    <row r="11" spans="1:5" x14ac:dyDescent="0.25">
      <c r="A11" s="15">
        <v>2</v>
      </c>
      <c r="B11" s="16" t="s">
        <v>30</v>
      </c>
      <c r="C11" s="17" t="s">
        <v>14</v>
      </c>
      <c r="D11" s="18">
        <v>0</v>
      </c>
      <c r="E11" s="18"/>
    </row>
    <row r="12" spans="1:5" ht="65.45" customHeight="1" x14ac:dyDescent="0.25">
      <c r="A12" s="24" t="s">
        <v>52</v>
      </c>
      <c r="B12" s="6" t="s">
        <v>62</v>
      </c>
      <c r="C12" s="3" t="s">
        <v>14</v>
      </c>
      <c r="D12" s="10">
        <v>0</v>
      </c>
      <c r="E12" s="10"/>
    </row>
    <row r="13" spans="1:5" x14ac:dyDescent="0.25">
      <c r="A13" s="25"/>
      <c r="B13" s="4"/>
      <c r="D13" s="22"/>
      <c r="E13" s="22"/>
    </row>
    <row r="15" spans="1:5" x14ac:dyDescent="0.25">
      <c r="B15" s="11" t="s">
        <v>7</v>
      </c>
    </row>
    <row r="16" spans="1:5" x14ac:dyDescent="0.25">
      <c r="B16" s="26"/>
    </row>
    <row r="17" spans="2:2" x14ac:dyDescent="0.25">
      <c r="B17" s="2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8078-AA38-4329-AB98-1F4595D3CC35}">
  <dimension ref="A2:E10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69</v>
      </c>
      <c r="B3" s="20" t="s">
        <v>2</v>
      </c>
      <c r="C3" s="17" t="s">
        <v>23</v>
      </c>
      <c r="D3" s="18"/>
      <c r="E3" s="18"/>
    </row>
    <row r="4" spans="1:5" x14ac:dyDescent="0.25">
      <c r="A4" s="10">
        <v>3</v>
      </c>
      <c r="B4" s="19" t="s">
        <v>68</v>
      </c>
      <c r="C4" s="3" t="s">
        <v>23</v>
      </c>
      <c r="D4" s="10">
        <v>0</v>
      </c>
      <c r="E4" s="10"/>
    </row>
    <row r="5" spans="1:5" x14ac:dyDescent="0.25">
      <c r="A5" s="18">
        <v>2</v>
      </c>
      <c r="B5" s="20" t="s">
        <v>68</v>
      </c>
      <c r="C5" s="17" t="s">
        <v>23</v>
      </c>
      <c r="D5" s="18">
        <v>0</v>
      </c>
      <c r="E5" s="18"/>
    </row>
    <row r="6" spans="1:5" x14ac:dyDescent="0.25">
      <c r="A6" s="10">
        <v>1</v>
      </c>
      <c r="B6" s="19" t="s">
        <v>67</v>
      </c>
      <c r="C6" s="3" t="s">
        <v>23</v>
      </c>
      <c r="D6" s="10">
        <v>0</v>
      </c>
      <c r="E6" s="10">
        <v>1</v>
      </c>
    </row>
    <row r="7" spans="1:5" x14ac:dyDescent="0.25">
      <c r="A7" s="18">
        <v>0</v>
      </c>
      <c r="B7" s="17" t="s">
        <v>70</v>
      </c>
      <c r="C7" s="17" t="s">
        <v>23</v>
      </c>
      <c r="D7" s="18">
        <v>0</v>
      </c>
      <c r="E7" s="18">
        <v>1</v>
      </c>
    </row>
    <row r="9" spans="1:5" x14ac:dyDescent="0.25">
      <c r="B9" s="8" t="s">
        <v>7</v>
      </c>
    </row>
    <row r="10" spans="1:5" x14ac:dyDescent="0.25">
      <c r="B10" s="26" t="s">
        <v>71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34AF-5C19-4AC1-9C2E-BCC896A5D633}">
  <dimension ref="A2:E30"/>
  <sheetViews>
    <sheetView workbookViewId="0"/>
  </sheetViews>
  <sheetFormatPr defaultRowHeight="15" x14ac:dyDescent="0.25"/>
  <cols>
    <col min="1" max="1" width="11.140625" style="1" customWidth="1"/>
    <col min="2" max="2" width="110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 t="s">
        <v>142</v>
      </c>
      <c r="B3" s="16" t="s">
        <v>2</v>
      </c>
      <c r="C3" s="17" t="s">
        <v>23</v>
      </c>
      <c r="D3" s="18">
        <v>0</v>
      </c>
      <c r="E3" s="18"/>
    </row>
    <row r="4" spans="1:5" ht="15" customHeight="1" x14ac:dyDescent="0.25">
      <c r="A4" s="24">
        <v>20</v>
      </c>
      <c r="B4" s="19" t="s">
        <v>161</v>
      </c>
      <c r="C4" s="3"/>
      <c r="D4" s="10"/>
      <c r="E4" s="10"/>
    </row>
    <row r="5" spans="1:5" ht="15" customHeight="1" x14ac:dyDescent="0.25">
      <c r="A5" s="24">
        <v>19</v>
      </c>
      <c r="B5" s="19" t="s">
        <v>160</v>
      </c>
      <c r="C5" s="3" t="s">
        <v>14</v>
      </c>
      <c r="D5" s="10">
        <v>0</v>
      </c>
      <c r="E5" s="10"/>
    </row>
    <row r="6" spans="1:5" ht="15" customHeight="1" x14ac:dyDescent="0.25">
      <c r="A6" s="24">
        <v>18</v>
      </c>
      <c r="B6" s="19" t="s">
        <v>159</v>
      </c>
      <c r="C6" s="3" t="s">
        <v>14</v>
      </c>
      <c r="D6" s="10">
        <v>0</v>
      </c>
      <c r="E6" s="10"/>
    </row>
    <row r="7" spans="1:5" x14ac:dyDescent="0.25">
      <c r="A7" s="24">
        <v>17</v>
      </c>
      <c r="B7" s="19" t="s">
        <v>158</v>
      </c>
      <c r="C7" s="3" t="s">
        <v>14</v>
      </c>
      <c r="D7" s="10"/>
      <c r="E7" s="10"/>
    </row>
    <row r="8" spans="1:5" ht="15" customHeight="1" x14ac:dyDescent="0.25">
      <c r="A8" s="24">
        <v>16</v>
      </c>
      <c r="B8" s="19" t="s">
        <v>157</v>
      </c>
      <c r="C8" s="3" t="s">
        <v>14</v>
      </c>
      <c r="D8" s="10">
        <v>0</v>
      </c>
      <c r="E8" s="10"/>
    </row>
    <row r="9" spans="1:5" x14ac:dyDescent="0.25">
      <c r="A9" s="24">
        <v>15</v>
      </c>
      <c r="B9" s="19" t="s">
        <v>156</v>
      </c>
      <c r="C9" s="3" t="s">
        <v>14</v>
      </c>
      <c r="D9" s="10">
        <v>0</v>
      </c>
      <c r="E9" s="10"/>
    </row>
    <row r="10" spans="1:5" x14ac:dyDescent="0.25">
      <c r="A10" s="24">
        <v>14</v>
      </c>
      <c r="B10" s="19" t="s">
        <v>154</v>
      </c>
      <c r="C10" s="3" t="s">
        <v>14</v>
      </c>
      <c r="D10" s="10">
        <v>0</v>
      </c>
      <c r="E10" s="10"/>
    </row>
    <row r="11" spans="1:5" x14ac:dyDescent="0.25">
      <c r="A11" s="24">
        <v>13</v>
      </c>
      <c r="B11" s="19" t="s">
        <v>155</v>
      </c>
      <c r="C11" s="3" t="s">
        <v>14</v>
      </c>
      <c r="D11" s="10">
        <v>0</v>
      </c>
      <c r="E11" s="10"/>
    </row>
    <row r="12" spans="1:5" x14ac:dyDescent="0.25">
      <c r="A12" s="24">
        <v>12</v>
      </c>
      <c r="B12" s="19" t="s">
        <v>153</v>
      </c>
      <c r="C12" s="3" t="s">
        <v>14</v>
      </c>
      <c r="D12" s="10">
        <v>0</v>
      </c>
      <c r="E12" s="10"/>
    </row>
    <row r="13" spans="1:5" x14ac:dyDescent="0.25">
      <c r="A13" s="24">
        <v>11</v>
      </c>
      <c r="B13" s="19" t="s">
        <v>152</v>
      </c>
      <c r="C13" s="3" t="s">
        <v>14</v>
      </c>
      <c r="D13" s="10">
        <v>0</v>
      </c>
      <c r="E13" s="10"/>
    </row>
    <row r="14" spans="1:5" x14ac:dyDescent="0.25">
      <c r="A14" s="24">
        <v>10</v>
      </c>
      <c r="B14" s="19" t="s">
        <v>151</v>
      </c>
      <c r="C14" s="3" t="s">
        <v>14</v>
      </c>
      <c r="D14" s="10">
        <v>0</v>
      </c>
      <c r="E14" s="10"/>
    </row>
    <row r="15" spans="1:5" x14ac:dyDescent="0.25">
      <c r="A15" s="24">
        <v>9</v>
      </c>
      <c r="B15" s="19" t="s">
        <v>150</v>
      </c>
      <c r="C15" s="3" t="s">
        <v>14</v>
      </c>
      <c r="D15" s="10">
        <v>0</v>
      </c>
      <c r="E15" s="10"/>
    </row>
    <row r="16" spans="1:5" x14ac:dyDescent="0.25">
      <c r="A16" s="24">
        <v>8</v>
      </c>
      <c r="B16" s="19" t="s">
        <v>149</v>
      </c>
      <c r="C16" s="3" t="s">
        <v>14</v>
      </c>
      <c r="D16" s="10">
        <v>0</v>
      </c>
      <c r="E16" s="10"/>
    </row>
    <row r="17" spans="1:5" x14ac:dyDescent="0.25">
      <c r="A17" s="24">
        <v>7</v>
      </c>
      <c r="B17" s="19" t="s">
        <v>148</v>
      </c>
      <c r="C17" s="3" t="s">
        <v>14</v>
      </c>
      <c r="D17" s="10">
        <v>0</v>
      </c>
      <c r="E17" s="10"/>
    </row>
    <row r="18" spans="1:5" x14ac:dyDescent="0.25">
      <c r="A18" s="24">
        <v>6</v>
      </c>
      <c r="B18" s="19" t="s">
        <v>147</v>
      </c>
      <c r="C18" s="3" t="s">
        <v>14</v>
      </c>
      <c r="D18" s="10">
        <v>0</v>
      </c>
      <c r="E18" s="10"/>
    </row>
    <row r="19" spans="1:5" x14ac:dyDescent="0.25">
      <c r="A19" s="24">
        <v>5</v>
      </c>
      <c r="B19" s="19" t="s">
        <v>146</v>
      </c>
      <c r="C19" s="3" t="s">
        <v>14</v>
      </c>
      <c r="D19" s="10">
        <v>0</v>
      </c>
      <c r="E19" s="10"/>
    </row>
    <row r="20" spans="1:5" x14ac:dyDescent="0.25">
      <c r="A20" s="24">
        <v>4</v>
      </c>
      <c r="B20" s="19" t="s">
        <v>145</v>
      </c>
      <c r="C20" s="3" t="s">
        <v>14</v>
      </c>
      <c r="D20" s="10">
        <v>0</v>
      </c>
      <c r="E20" s="10"/>
    </row>
    <row r="21" spans="1:5" x14ac:dyDescent="0.25">
      <c r="A21" s="24">
        <v>3</v>
      </c>
      <c r="B21" s="19" t="s">
        <v>144</v>
      </c>
      <c r="C21" s="3" t="s">
        <v>14</v>
      </c>
      <c r="D21" s="10">
        <v>0</v>
      </c>
      <c r="E21" s="10"/>
    </row>
    <row r="22" spans="1:5" x14ac:dyDescent="0.25">
      <c r="A22" s="24">
        <v>2</v>
      </c>
      <c r="B22" s="19" t="s">
        <v>143</v>
      </c>
      <c r="C22" s="3" t="s">
        <v>14</v>
      </c>
      <c r="D22" s="10">
        <v>0</v>
      </c>
      <c r="E22" s="10"/>
    </row>
    <row r="23" spans="1:5" x14ac:dyDescent="0.25">
      <c r="A23" s="24">
        <v>1</v>
      </c>
      <c r="B23" s="19" t="s">
        <v>140</v>
      </c>
      <c r="C23" s="3" t="s">
        <v>14</v>
      </c>
      <c r="D23" s="10">
        <v>0</v>
      </c>
      <c r="E23" s="10"/>
    </row>
    <row r="24" spans="1:5" x14ac:dyDescent="0.25">
      <c r="A24" s="24">
        <v>0</v>
      </c>
      <c r="B24" s="19" t="s">
        <v>141</v>
      </c>
      <c r="C24" s="3" t="s">
        <v>14</v>
      </c>
      <c r="D24" s="10">
        <v>0</v>
      </c>
      <c r="E24" s="10"/>
    </row>
    <row r="25" spans="1:5" ht="15" customHeight="1" x14ac:dyDescent="0.25">
      <c r="A25" s="25"/>
      <c r="B25" s="4"/>
      <c r="D25" s="22"/>
      <c r="E25" s="22"/>
    </row>
    <row r="27" spans="1:5" x14ac:dyDescent="0.25">
      <c r="B27" s="11" t="s">
        <v>7</v>
      </c>
    </row>
    <row r="29" spans="1:5" x14ac:dyDescent="0.25">
      <c r="B29" s="26"/>
    </row>
    <row r="30" spans="1:5" x14ac:dyDescent="0.25">
      <c r="B30" s="2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85CD-A05E-4EFE-9C42-781DF3EFE0DB}">
  <dimension ref="A2:E18"/>
  <sheetViews>
    <sheetView workbookViewId="0"/>
  </sheetViews>
  <sheetFormatPr defaultRowHeight="15" x14ac:dyDescent="0.25"/>
  <cols>
    <col min="1" max="1" width="11.140625" style="1" customWidth="1"/>
    <col min="2" max="2" width="110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 t="s">
        <v>139</v>
      </c>
      <c r="B3" s="16" t="s">
        <v>2</v>
      </c>
      <c r="C3" s="17" t="s">
        <v>23</v>
      </c>
      <c r="D3" s="18">
        <v>0</v>
      </c>
      <c r="E3" s="18"/>
    </row>
    <row r="4" spans="1:5" ht="15" customHeight="1" x14ac:dyDescent="0.25">
      <c r="A4" s="24">
        <v>19</v>
      </c>
      <c r="B4" s="6" t="s">
        <v>138</v>
      </c>
      <c r="C4" s="3" t="s">
        <v>23</v>
      </c>
      <c r="D4" s="10">
        <v>0</v>
      </c>
      <c r="E4" s="10"/>
    </row>
    <row r="5" spans="1:5" x14ac:dyDescent="0.25">
      <c r="A5" s="15">
        <v>18</v>
      </c>
      <c r="B5" s="16" t="s">
        <v>136</v>
      </c>
      <c r="C5" s="17" t="s">
        <v>23</v>
      </c>
      <c r="D5" s="18">
        <v>0</v>
      </c>
      <c r="E5" s="18"/>
    </row>
    <row r="6" spans="1:5" ht="15" customHeight="1" x14ac:dyDescent="0.25">
      <c r="A6" s="24" t="s">
        <v>134</v>
      </c>
      <c r="B6" s="6" t="s">
        <v>135</v>
      </c>
      <c r="C6" s="3" t="s">
        <v>23</v>
      </c>
      <c r="D6" s="10">
        <v>0</v>
      </c>
      <c r="E6" s="10"/>
    </row>
    <row r="7" spans="1:5" x14ac:dyDescent="0.25">
      <c r="A7" s="15">
        <v>9</v>
      </c>
      <c r="B7" s="16" t="s">
        <v>133</v>
      </c>
      <c r="C7" s="17" t="s">
        <v>23</v>
      </c>
      <c r="D7" s="18"/>
      <c r="E7" s="18"/>
    </row>
    <row r="8" spans="1:5" ht="15" customHeight="1" x14ac:dyDescent="0.25">
      <c r="A8" s="24">
        <v>8</v>
      </c>
      <c r="B8" s="6" t="s">
        <v>132</v>
      </c>
      <c r="C8" s="3" t="s">
        <v>23</v>
      </c>
      <c r="D8" s="10">
        <v>0</v>
      </c>
      <c r="E8" s="10"/>
    </row>
    <row r="9" spans="1:5" ht="63.75" x14ac:dyDescent="0.25">
      <c r="A9" s="15" t="s">
        <v>55</v>
      </c>
      <c r="B9" s="16" t="s">
        <v>129</v>
      </c>
      <c r="C9" s="17" t="s">
        <v>23</v>
      </c>
      <c r="D9" s="18">
        <v>0</v>
      </c>
      <c r="E9" s="10"/>
    </row>
    <row r="10" spans="1:5" ht="51" x14ac:dyDescent="0.25">
      <c r="A10" s="24" t="s">
        <v>128</v>
      </c>
      <c r="B10" s="6" t="s">
        <v>130</v>
      </c>
      <c r="C10" s="3" t="s">
        <v>23</v>
      </c>
      <c r="D10" s="10">
        <v>0</v>
      </c>
      <c r="E10" s="10"/>
    </row>
    <row r="11" spans="1:5" ht="51" x14ac:dyDescent="0.25">
      <c r="A11" s="15" t="s">
        <v>127</v>
      </c>
      <c r="B11" s="16" t="s">
        <v>137</v>
      </c>
      <c r="C11" s="17" t="s">
        <v>23</v>
      </c>
      <c r="D11" s="18">
        <v>0</v>
      </c>
      <c r="E11" s="18"/>
    </row>
    <row r="12" spans="1:5" ht="60" x14ac:dyDescent="0.25">
      <c r="A12" s="24" t="s">
        <v>52</v>
      </c>
      <c r="B12" s="19" t="s">
        <v>131</v>
      </c>
      <c r="C12" s="3" t="s">
        <v>23</v>
      </c>
      <c r="D12" s="10">
        <v>0</v>
      </c>
      <c r="E12" s="10"/>
    </row>
    <row r="13" spans="1:5" ht="15" customHeight="1" x14ac:dyDescent="0.25">
      <c r="A13" s="25"/>
      <c r="B13" s="4"/>
      <c r="D13" s="22"/>
      <c r="E13" s="22"/>
    </row>
    <row r="15" spans="1:5" x14ac:dyDescent="0.25">
      <c r="B15" s="11" t="s">
        <v>7</v>
      </c>
    </row>
    <row r="17" spans="2:2" x14ac:dyDescent="0.25">
      <c r="B17" s="26"/>
    </row>
    <row r="18" spans="2:2" x14ac:dyDescent="0.25">
      <c r="B18" s="2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A2B8-12E1-48C1-BCDD-0455D6E83545}">
  <dimension ref="A2:E13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60" x14ac:dyDescent="0.25">
      <c r="A3" s="18" t="s">
        <v>4</v>
      </c>
      <c r="B3" s="20" t="s">
        <v>104</v>
      </c>
      <c r="C3" s="17" t="s">
        <v>23</v>
      </c>
      <c r="D3" s="37" t="s">
        <v>116</v>
      </c>
      <c r="E3" s="18" t="s">
        <v>54</v>
      </c>
    </row>
    <row r="4" spans="1:5" x14ac:dyDescent="0.25">
      <c r="A4" s="22"/>
      <c r="B4" s="7"/>
      <c r="D4" s="22"/>
      <c r="E4" s="22"/>
    </row>
    <row r="6" spans="1:5" x14ac:dyDescent="0.25">
      <c r="B6" s="8" t="s">
        <v>7</v>
      </c>
    </row>
    <row r="7" spans="1:5" ht="30" x14ac:dyDescent="0.25">
      <c r="B7" s="7" t="s">
        <v>112</v>
      </c>
    </row>
    <row r="8" spans="1:5" x14ac:dyDescent="0.25">
      <c r="B8" s="7" t="s">
        <v>109</v>
      </c>
    </row>
    <row r="10" spans="1:5" x14ac:dyDescent="0.25">
      <c r="B10" s="35" t="s">
        <v>108</v>
      </c>
      <c r="C10">
        <v>100</v>
      </c>
      <c r="D10" t="s">
        <v>72</v>
      </c>
    </row>
    <row r="11" spans="1:5" x14ac:dyDescent="0.25">
      <c r="C11" s="38" t="s">
        <v>105</v>
      </c>
      <c r="D11" s="38"/>
    </row>
    <row r="12" spans="1:5" x14ac:dyDescent="0.25">
      <c r="C12" s="3" t="s">
        <v>107</v>
      </c>
      <c r="D12" s="33">
        <v>1</v>
      </c>
      <c r="E12" t="s">
        <v>106</v>
      </c>
    </row>
    <row r="13" spans="1:5" x14ac:dyDescent="0.25">
      <c r="C13" s="3" t="s">
        <v>73</v>
      </c>
      <c r="D13" s="34">
        <f>D12*C10</f>
        <v>100</v>
      </c>
    </row>
  </sheetData>
  <mergeCells count="1">
    <mergeCell ref="C11:D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5F3B-706D-46C3-9FE4-D697B9AB28AF}">
  <dimension ref="A2:E13"/>
  <sheetViews>
    <sheetView workbookViewId="0">
      <selection activeCell="D14" sqref="D14"/>
    </sheetView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121</v>
      </c>
      <c r="C3" s="17" t="s">
        <v>23</v>
      </c>
      <c r="D3" s="18">
        <v>0</v>
      </c>
      <c r="E3" s="18" t="s">
        <v>54</v>
      </c>
    </row>
    <row r="5" spans="1:5" x14ac:dyDescent="0.25">
      <c r="B5" s="8" t="s">
        <v>7</v>
      </c>
    </row>
    <row r="6" spans="1:5" ht="30" x14ac:dyDescent="0.25">
      <c r="B6" s="7" t="s">
        <v>123</v>
      </c>
    </row>
    <row r="7" spans="1:5" ht="45" customHeight="1" x14ac:dyDescent="0.25">
      <c r="B7" s="7"/>
    </row>
    <row r="8" spans="1:5" ht="26.25" customHeight="1" x14ac:dyDescent="0.25">
      <c r="B8" s="7"/>
    </row>
    <row r="10" spans="1:5" x14ac:dyDescent="0.25">
      <c r="B10" s="35" t="s">
        <v>108</v>
      </c>
      <c r="C10">
        <v>100</v>
      </c>
      <c r="D10" t="s">
        <v>72</v>
      </c>
    </row>
    <row r="11" spans="1:5" x14ac:dyDescent="0.25">
      <c r="C11" s="38" t="s">
        <v>105</v>
      </c>
      <c r="D11" s="38"/>
    </row>
    <row r="12" spans="1:5" x14ac:dyDescent="0.25">
      <c r="C12" s="3" t="s">
        <v>120</v>
      </c>
      <c r="D12" s="33">
        <v>20</v>
      </c>
      <c r="E12" t="s">
        <v>106</v>
      </c>
    </row>
    <row r="13" spans="1:5" x14ac:dyDescent="0.25">
      <c r="C13" s="3" t="s">
        <v>73</v>
      </c>
      <c r="D13" s="34">
        <f>D12*C10</f>
        <v>2000</v>
      </c>
    </row>
  </sheetData>
  <mergeCells count="1">
    <mergeCell ref="C11:D11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4298-59BA-4526-817E-4E7BB9AF4F4B}">
  <dimension ref="A2:E9"/>
  <sheetViews>
    <sheetView workbookViewId="0">
      <selection activeCell="B19" sqref="B19"/>
    </sheetView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124</v>
      </c>
      <c r="C3" s="17" t="s">
        <v>23</v>
      </c>
      <c r="D3" s="18">
        <v>1</v>
      </c>
      <c r="E3" s="18" t="s">
        <v>54</v>
      </c>
    </row>
    <row r="5" spans="1:5" x14ac:dyDescent="0.25">
      <c r="B5" s="8" t="s">
        <v>7</v>
      </c>
    </row>
    <row r="6" spans="1:5" ht="60" x14ac:dyDescent="0.25">
      <c r="B6" s="7" t="s">
        <v>125</v>
      </c>
    </row>
    <row r="7" spans="1:5" ht="30" x14ac:dyDescent="0.25">
      <c r="B7" s="7" t="s">
        <v>126</v>
      </c>
    </row>
    <row r="8" spans="1:5" x14ac:dyDescent="0.25">
      <c r="B8" s="35"/>
    </row>
    <row r="9" spans="1:5" x14ac:dyDescent="0.25">
      <c r="C9" s="39"/>
      <c r="D9" s="39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9F76-6AA1-4183-8FD1-D2060AC3FC62}">
  <dimension ref="A2:E12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118</v>
      </c>
      <c r="C3" s="17" t="s">
        <v>23</v>
      </c>
      <c r="D3" s="18">
        <v>0</v>
      </c>
      <c r="E3" s="18" t="s">
        <v>54</v>
      </c>
    </row>
    <row r="5" spans="1:5" x14ac:dyDescent="0.25">
      <c r="B5" s="8" t="s">
        <v>7</v>
      </c>
    </row>
    <row r="6" spans="1:5" ht="30" x14ac:dyDescent="0.25">
      <c r="B6" s="7" t="s">
        <v>119</v>
      </c>
    </row>
    <row r="7" spans="1:5" ht="25.5" customHeight="1" x14ac:dyDescent="0.25">
      <c r="B7" s="7"/>
    </row>
    <row r="9" spans="1:5" x14ac:dyDescent="0.25">
      <c r="B9" s="35" t="s">
        <v>108</v>
      </c>
      <c r="C9">
        <v>100</v>
      </c>
      <c r="D9" t="s">
        <v>72</v>
      </c>
    </row>
    <row r="10" spans="1:5" x14ac:dyDescent="0.25">
      <c r="C10" s="38" t="s">
        <v>105</v>
      </c>
      <c r="D10" s="38"/>
    </row>
    <row r="11" spans="1:5" x14ac:dyDescent="0.25">
      <c r="C11" s="3" t="s">
        <v>111</v>
      </c>
      <c r="D11" s="33">
        <v>20</v>
      </c>
      <c r="E11" t="s">
        <v>106</v>
      </c>
    </row>
    <row r="12" spans="1:5" x14ac:dyDescent="0.25">
      <c r="C12" s="3" t="s">
        <v>73</v>
      </c>
      <c r="D12" s="34">
        <f>D11*C9</f>
        <v>2000</v>
      </c>
    </row>
  </sheetData>
  <mergeCells count="1">
    <mergeCell ref="C10:D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C372-E144-42E2-B052-47ED905F4C42}">
  <dimension ref="A2:E9"/>
  <sheetViews>
    <sheetView workbookViewId="0">
      <selection activeCell="B9" sqref="B9"/>
    </sheetView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170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171</v>
      </c>
    </row>
    <row r="7" spans="1:5" x14ac:dyDescent="0.25">
      <c r="B7" s="7"/>
    </row>
    <row r="8" spans="1:5" x14ac:dyDescent="0.25">
      <c r="B8" s="35"/>
    </row>
    <row r="9" spans="1:5" x14ac:dyDescent="0.25">
      <c r="C9" s="39"/>
      <c r="D9" s="39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74B1-2C34-42AE-96FA-1E0956655E1F}">
  <dimension ref="A2:E9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172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171</v>
      </c>
    </row>
    <row r="7" spans="1:5" x14ac:dyDescent="0.25">
      <c r="B7" s="7"/>
    </row>
    <row r="8" spans="1:5" x14ac:dyDescent="0.25">
      <c r="B8" s="35"/>
    </row>
    <row r="9" spans="1:5" x14ac:dyDescent="0.25">
      <c r="C9" s="39"/>
      <c r="D9" s="39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B0F2-203D-4BB4-A2D0-D91D19AD8FEB}">
  <dimension ref="A2:E9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172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171</v>
      </c>
    </row>
    <row r="7" spans="1:5" x14ac:dyDescent="0.25">
      <c r="B7" s="7"/>
    </row>
    <row r="8" spans="1:5" x14ac:dyDescent="0.25">
      <c r="B8" s="35"/>
    </row>
    <row r="9" spans="1:5" x14ac:dyDescent="0.25">
      <c r="C9" s="39"/>
      <c r="D9" s="39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0F6A-1C0C-4FB2-B56F-CCA65A406B36}">
  <dimension ref="A2:E6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177</v>
      </c>
      <c r="C3" s="17" t="s">
        <v>23</v>
      </c>
      <c r="D3" s="18">
        <v>0</v>
      </c>
      <c r="E3" s="18"/>
    </row>
    <row r="5" spans="1:5" x14ac:dyDescent="0.25">
      <c r="B5" s="8" t="s">
        <v>7</v>
      </c>
    </row>
    <row r="6" spans="1:5" x14ac:dyDescent="0.25">
      <c r="B6" s="7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C8BC-790E-4784-A37D-3A8D68BF81ED}">
  <dimension ref="A2:E9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178</v>
      </c>
      <c r="C3" s="17" t="s">
        <v>23</v>
      </c>
      <c r="D3" s="18">
        <v>1</v>
      </c>
      <c r="E3" s="18"/>
    </row>
    <row r="5" spans="1:5" x14ac:dyDescent="0.25">
      <c r="B5" s="8" t="s">
        <v>7</v>
      </c>
    </row>
    <row r="6" spans="1:5" x14ac:dyDescent="0.25">
      <c r="B6" s="7"/>
    </row>
    <row r="7" spans="1:5" x14ac:dyDescent="0.25">
      <c r="B7" s="7"/>
    </row>
    <row r="8" spans="1:5" x14ac:dyDescent="0.25">
      <c r="B8" s="35"/>
    </row>
    <row r="9" spans="1:5" x14ac:dyDescent="0.25">
      <c r="C9" s="39"/>
      <c r="D9" s="39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3A69-83AB-4E5A-A62A-C8C4223B902A}">
  <dimension ref="A2:E17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4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26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57.75" x14ac:dyDescent="0.25">
      <c r="B7" s="26" t="s">
        <v>74</v>
      </c>
    </row>
    <row r="8" spans="1:5" ht="39.75" customHeight="1" x14ac:dyDescent="0.25"/>
    <row r="9" spans="1:5" x14ac:dyDescent="0.25">
      <c r="B9" s="7" t="s">
        <v>27</v>
      </c>
    </row>
    <row r="10" spans="1:5" ht="36" customHeight="1" x14ac:dyDescent="0.25"/>
    <row r="11" spans="1:5" x14ac:dyDescent="0.25">
      <c r="B11" s="31" t="s">
        <v>79</v>
      </c>
      <c r="C11" s="1">
        <v>16</v>
      </c>
    </row>
    <row r="12" spans="1:5" ht="16.5" customHeight="1" x14ac:dyDescent="0.25">
      <c r="C12" s="40" t="s">
        <v>75</v>
      </c>
      <c r="D12" s="40"/>
      <c r="E12" s="27"/>
    </row>
    <row r="13" spans="1:5" x14ac:dyDescent="0.25">
      <c r="C13" s="28" t="s">
        <v>76</v>
      </c>
      <c r="D13" s="29">
        <v>40000</v>
      </c>
      <c r="E13" s="27" t="s">
        <v>80</v>
      </c>
    </row>
    <row r="14" spans="1:5" x14ac:dyDescent="0.25">
      <c r="C14" s="28" t="s">
        <v>77</v>
      </c>
      <c r="D14" s="30">
        <f>((D13*509.3140064)/(2^C11))-280.2308787</f>
        <v>30.62972090937501</v>
      </c>
      <c r="E14" s="27" t="s">
        <v>78</v>
      </c>
    </row>
    <row r="16" spans="1:5" x14ac:dyDescent="0.25">
      <c r="C16" s="28" t="s">
        <v>81</v>
      </c>
      <c r="D16" s="29" t="s">
        <v>83</v>
      </c>
      <c r="E16" s="27" t="s">
        <v>82</v>
      </c>
    </row>
    <row r="17" spans="3:5" x14ac:dyDescent="0.25">
      <c r="C17" s="28" t="s">
        <v>77</v>
      </c>
      <c r="D17" s="30">
        <f>((HEX2DEC(D16)*509.3140064)/(2^C11))-280.2308787</f>
        <v>30.62972090937501</v>
      </c>
      <c r="E17" s="27"/>
    </row>
  </sheetData>
  <mergeCells count="1">
    <mergeCell ref="C12:D12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19B-2B9D-4D5E-8D62-E4C237FCBE25}">
  <dimension ref="A2:E23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26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78.75" customHeight="1" x14ac:dyDescent="0.25">
      <c r="B7" s="26" t="s">
        <v>41</v>
      </c>
    </row>
    <row r="8" spans="1:5" ht="39.75" customHeight="1" x14ac:dyDescent="0.25"/>
    <row r="9" spans="1:5" x14ac:dyDescent="0.25">
      <c r="B9" s="7" t="s">
        <v>42</v>
      </c>
    </row>
    <row r="10" spans="1:5" ht="36" customHeight="1" x14ac:dyDescent="0.25"/>
    <row r="11" spans="1:5" ht="16.5" customHeight="1" x14ac:dyDescent="0.25"/>
    <row r="12" spans="1:5" x14ac:dyDescent="0.25">
      <c r="B12" s="31" t="s">
        <v>79</v>
      </c>
      <c r="C12" s="1">
        <v>16</v>
      </c>
      <c r="D12" s="27"/>
      <c r="E12" s="27"/>
    </row>
    <row r="13" spans="1:5" x14ac:dyDescent="0.25">
      <c r="B13" s="27"/>
      <c r="C13" s="40" t="s">
        <v>84</v>
      </c>
      <c r="D13" s="40"/>
      <c r="E13" s="27"/>
    </row>
    <row r="14" spans="1:5" x14ac:dyDescent="0.25">
      <c r="B14" s="27"/>
      <c r="C14" s="28" t="s">
        <v>76</v>
      </c>
      <c r="D14" s="29">
        <v>40000</v>
      </c>
      <c r="E14" s="27" t="s">
        <v>80</v>
      </c>
    </row>
    <row r="15" spans="1:5" x14ac:dyDescent="0.25">
      <c r="B15" s="27"/>
      <c r="C15" s="28" t="s">
        <v>85</v>
      </c>
      <c r="D15" s="30">
        <f>(D14/(2^C12))*3</f>
        <v>1.8310546875</v>
      </c>
      <c r="E15" s="27" t="s">
        <v>86</v>
      </c>
    </row>
    <row r="16" spans="1:5" x14ac:dyDescent="0.25">
      <c r="B16" s="27"/>
    </row>
    <row r="17" spans="2:5" x14ac:dyDescent="0.25">
      <c r="B17" s="27"/>
      <c r="C17" s="28" t="s">
        <v>81</v>
      </c>
      <c r="D17" s="29" t="s">
        <v>83</v>
      </c>
      <c r="E17" s="27" t="s">
        <v>82</v>
      </c>
    </row>
    <row r="18" spans="2:5" x14ac:dyDescent="0.25">
      <c r="B18" s="27"/>
      <c r="C18" s="28" t="s">
        <v>85</v>
      </c>
      <c r="D18" s="30">
        <f>(HEX2DEC(D17)/(2^C12))*3</f>
        <v>1.8310546875</v>
      </c>
      <c r="E18" s="27" t="s">
        <v>86</v>
      </c>
    </row>
    <row r="19" spans="2:5" x14ac:dyDescent="0.25">
      <c r="B19" s="27"/>
      <c r="C19" s="27"/>
      <c r="D19" s="27"/>
      <c r="E19" s="27"/>
    </row>
    <row r="20" spans="2:5" x14ac:dyDescent="0.25">
      <c r="B20" s="27"/>
      <c r="C20" s="27"/>
      <c r="D20" s="27"/>
      <c r="E20" s="27"/>
    </row>
    <row r="21" spans="2:5" x14ac:dyDescent="0.25">
      <c r="B21" s="27"/>
      <c r="C21" s="27"/>
      <c r="D21" s="27"/>
      <c r="E21" s="27"/>
    </row>
    <row r="22" spans="2:5" x14ac:dyDescent="0.25">
      <c r="B22" s="27"/>
      <c r="C22" s="27"/>
      <c r="D22" s="27"/>
      <c r="E22" s="27"/>
    </row>
    <row r="23" spans="2:5" x14ac:dyDescent="0.25">
      <c r="B23" s="27"/>
      <c r="C23" s="27"/>
      <c r="D23" s="27"/>
      <c r="E23" s="27"/>
    </row>
  </sheetData>
  <mergeCells count="1">
    <mergeCell ref="C13:D13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"/>
  <sheetViews>
    <sheetView workbookViewId="0"/>
  </sheetViews>
  <sheetFormatPr defaultRowHeight="15" x14ac:dyDescent="0.25"/>
  <cols>
    <col min="2" max="2" width="100" customWidth="1"/>
    <col min="3" max="3" width="13.7109375" customWidth="1"/>
    <col min="4" max="4" width="14.5703125" customWidth="1"/>
    <col min="5" max="5" width="12.570312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</v>
      </c>
      <c r="B3" s="16" t="s">
        <v>8</v>
      </c>
      <c r="C3" s="17" t="s">
        <v>15</v>
      </c>
      <c r="D3" s="17"/>
      <c r="E3" s="17"/>
    </row>
    <row r="6" spans="1:5" x14ac:dyDescent="0.25">
      <c r="B6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Memory Map</vt:lpstr>
      <vt:lpstr>FW Revision</vt:lpstr>
      <vt:lpstr>Overall Status</vt:lpstr>
      <vt:lpstr>Main Control</vt:lpstr>
      <vt:lpstr>Ksine</vt:lpstr>
      <vt:lpstr>Scan_Limit_Result</vt:lpstr>
      <vt:lpstr>System_Status</vt:lpstr>
      <vt:lpstr>ARM Status</vt:lpstr>
      <vt:lpstr>SWC Status</vt:lpstr>
      <vt:lpstr>SWCR Status</vt:lpstr>
      <vt:lpstr>Pulse Duration</vt:lpstr>
      <vt:lpstr>RLTD Period</vt:lpstr>
      <vt:lpstr>RLTD Runs</vt:lpstr>
      <vt:lpstr>Pre RLTD Time</vt:lpstr>
      <vt:lpstr>Num Increment</vt:lpstr>
      <vt:lpstr>Alpha Increment</vt:lpstr>
      <vt:lpstr>Beta Increment</vt:lpstr>
      <vt:lpstr>Cycle Repeat</vt:lpstr>
      <vt:lpstr>Num Cycles</vt:lpstr>
      <vt:lpstr>Die Temperature</vt:lpstr>
      <vt:lpstr>Voltage</vt:lpstr>
      <vt:lpstr>Diagnostic R-W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Hai Tuyen (U.S. Person)</dc:creator>
  <cp:lastModifiedBy>Shawn McMullen</cp:lastModifiedBy>
  <dcterms:created xsi:type="dcterms:W3CDTF">2017-11-16T22:09:34Z</dcterms:created>
  <dcterms:modified xsi:type="dcterms:W3CDTF">2026-06-11T00:49:47Z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a132d8ab-2485-4715-802d-31da94d84165</vt:lpwstr>
  </property>
  <property fmtid="{D5CDD505-2E9C-101B-9397-08002B2CF9AE}" pid="3" name="CLASSIFICATION">
    <vt:lpwstr>General</vt:lpwstr>
  </property>
</Properties>
</file>