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E:\FPGA_Designs\IRT\L3H\SWCR\TU\docs\"/>
    </mc:Choice>
  </mc:AlternateContent>
  <xr:revisionPtr revIDLastSave="0" documentId="13_ncr:1_{50974398-BF11-4E98-876A-A81ACA4466DE}" xr6:coauthVersionLast="47" xr6:coauthVersionMax="47" xr10:uidLastSave="{00000000-0000-0000-0000-000000000000}"/>
  <bookViews>
    <workbookView xWindow="28680" yWindow="-120" windowWidth="29040" windowHeight="15720" xr2:uid="{00000000-000D-0000-FFFF-FFFF00000000}"/>
  </bookViews>
  <sheets>
    <sheet name="Memory Map" sheetId="2" r:id="rId1"/>
    <sheet name="FW Revision" sheetId="4" r:id="rId2"/>
    <sheet name="Overall Status" sheetId="5" r:id="rId3"/>
    <sheet name="Main Control" sheetId="1" r:id="rId4"/>
    <sheet name="Ksine" sheetId="25" r:id="rId5"/>
    <sheet name="Scan_Limit_Result" sheetId="42" r:id="rId6"/>
    <sheet name="System_Status" sheetId="43" r:id="rId7"/>
    <sheet name="ARM Status" sheetId="48" r:id="rId8"/>
    <sheet name="Pulse Duration" sheetId="49" r:id="rId9"/>
    <sheet name="PBP Period" sheetId="50" r:id="rId10"/>
    <sheet name="PBP Runs" sheetId="51" r:id="rId11"/>
    <sheet name="Pre RLTD Time" sheetId="52" r:id="rId12"/>
    <sheet name="Die Temperature" sheetId="27" r:id="rId13"/>
    <sheet name="Voltage" sheetId="41" r:id="rId14"/>
    <sheet name="Diagnostic R-W" sheetId="14" r:id="rId15"/>
    <sheet name="DCU Status" sheetId="47" r:id="rId16"/>
    <sheet name="SPI Read Clk Delay" sheetId="46"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52" l="1"/>
  <c r="D12" i="50"/>
  <c r="D13" i="49" l="1"/>
  <c r="D18" i="41"/>
  <c r="D15" i="41"/>
  <c r="D17" i="27"/>
  <c r="D14" i="27"/>
  <c r="D15" i="46"/>
  <c r="D14" i="46"/>
  <c r="C3" i="2"/>
  <c r="B4" i="2"/>
  <c r="B5" i="2" s="1"/>
  <c r="C4" i="2" l="1"/>
  <c r="B6" i="2"/>
  <c r="C5" i="2"/>
  <c r="B7" i="2" l="1"/>
  <c r="C6" i="2"/>
  <c r="B8" i="2" l="1"/>
  <c r="C7" i="2"/>
  <c r="B9" i="2" l="1"/>
  <c r="C8" i="2"/>
  <c r="B10" i="2" l="1"/>
  <c r="C9" i="2"/>
  <c r="B11" i="2" l="1"/>
  <c r="C10" i="2"/>
  <c r="B12" i="2" l="1"/>
  <c r="C11" i="2"/>
  <c r="B13" i="2" l="1"/>
  <c r="C12" i="2"/>
  <c r="B14" i="2" l="1"/>
  <c r="C13" i="2"/>
  <c r="B15" i="2" l="1"/>
  <c r="C14" i="2"/>
  <c r="B16" i="2" l="1"/>
  <c r="C15" i="2"/>
  <c r="B17" i="2" l="1"/>
  <c r="C16" i="2"/>
  <c r="B18" i="2" l="1"/>
  <c r="C17" i="2"/>
  <c r="B19" i="2" l="1"/>
  <c r="C18" i="2"/>
  <c r="B20" i="2" l="1"/>
  <c r="C19" i="2"/>
  <c r="B21" i="2" l="1"/>
  <c r="C20" i="2"/>
  <c r="B22" i="2" l="1"/>
  <c r="C21" i="2"/>
  <c r="B23" i="2" l="1"/>
  <c r="C22" i="2"/>
  <c r="B24" i="2" l="1"/>
  <c r="C23" i="2"/>
  <c r="B25" i="2" l="1"/>
  <c r="C24" i="2"/>
  <c r="B26" i="2" l="1"/>
  <c r="C25" i="2"/>
  <c r="B27" i="2" l="1"/>
  <c r="C26" i="2"/>
  <c r="B28" i="2" l="1"/>
  <c r="C27" i="2"/>
  <c r="B29" i="2" l="1"/>
  <c r="C28" i="2"/>
  <c r="B30" i="2" l="1"/>
  <c r="B31" i="2" s="1"/>
  <c r="C29" i="2"/>
  <c r="B32" i="2" l="1"/>
  <c r="C31" i="2"/>
  <c r="C30" i="2"/>
  <c r="B33" i="2" l="1"/>
  <c r="C32" i="2"/>
  <c r="B34" i="2" l="1"/>
  <c r="C33" i="2"/>
  <c r="C34" i="2" l="1"/>
</calcChain>
</file>

<file path=xl/sharedStrings.xml><?xml version="1.0" encoding="utf-8"?>
<sst xmlns="http://schemas.openxmlformats.org/spreadsheetml/2006/main" count="410" uniqueCount="155">
  <si>
    <t>BITS</t>
  </si>
  <si>
    <t>FUNCTION</t>
  </si>
  <si>
    <t>Not Used</t>
  </si>
  <si>
    <t>Register Name</t>
  </si>
  <si>
    <t>31..0</t>
  </si>
  <si>
    <t>15..0</t>
  </si>
  <si>
    <t>31..16</t>
  </si>
  <si>
    <t>Notes:</t>
  </si>
  <si>
    <t>Buffer to read and write information (mainly used for passing diagnostics information).  FPGA will take no action.</t>
  </si>
  <si>
    <t>Diagnostic R-W: Buffer for reading and writing information - Read/Write</t>
  </si>
  <si>
    <t>Reg #</t>
  </si>
  <si>
    <t>Addr Offset</t>
  </si>
  <si>
    <t>Direction</t>
  </si>
  <si>
    <t>FW Revision</t>
  </si>
  <si>
    <t>Read Only</t>
  </si>
  <si>
    <t>Write/Read</t>
  </si>
  <si>
    <t>Spare</t>
  </si>
  <si>
    <t>FPGA Revision:  15..8 Major Revision 7..0 minor revision.  Ex: 0x030B = Rev 3.11</t>
  </si>
  <si>
    <t>Read</t>
  </si>
  <si>
    <t>N/A</t>
  </si>
  <si>
    <t>R/W</t>
  </si>
  <si>
    <t>Default</t>
  </si>
  <si>
    <t>Notes</t>
  </si>
  <si>
    <t>Write/(read)</t>
  </si>
  <si>
    <t>NOTES:</t>
  </si>
  <si>
    <t>15..13</t>
  </si>
  <si>
    <t>ADC value of the Die Temperature Voltage reading</t>
  </si>
  <si>
    <t>[2] For referance ONLY:  Voltage to the internal ADC:</t>
  </si>
  <si>
    <t>Overall Status</t>
  </si>
  <si>
    <t>Die Temperature</t>
  </si>
  <si>
    <t>Reserved</t>
  </si>
  <si>
    <t>9..0</t>
  </si>
  <si>
    <t>31..10</t>
  </si>
  <si>
    <t>Mian Control</t>
  </si>
  <si>
    <t>VCCINT Voltage</t>
  </si>
  <si>
    <t>High Temperature alarm</t>
  </si>
  <si>
    <t>VCCINT Alarm</t>
  </si>
  <si>
    <t>VCCAUX Alarm</t>
  </si>
  <si>
    <t>VBRAM Alarm</t>
  </si>
  <si>
    <t>Soft reset.  When toggled from 0 --&gt; 1 several data registers and state machines will be reset. Must be set back to 0 to restart.</t>
  </si>
  <si>
    <t>VBRAM Voltage</t>
  </si>
  <si>
    <t>[1] The following Equation can be used to calculate the Internal system voltage based on the ADC count value.  Note:  Either the MSB 10-bits can used or the whole 16-bit value can be used for the below equaiton.  The ADCs are only 10-bit but the eniter 16-bits can used when averaging (averaging is set to 16 in the current design).</t>
  </si>
  <si>
    <t>Example using all 16-bits:</t>
  </si>
  <si>
    <t>Scan Limit Result</t>
  </si>
  <si>
    <t>31..5</t>
  </si>
  <si>
    <t>sin_el check result: 0=Fail, 1=Pass</t>
  </si>
  <si>
    <t>w check result: 0=Fail, 1=Pass</t>
  </si>
  <si>
    <t>v check result: 0=Fail, 1=Pass</t>
  </si>
  <si>
    <t>u check result: 0=Fail, 1=Pass</t>
  </si>
  <si>
    <t>Scan Limit Status: 0=Fail, 1=Pass</t>
  </si>
  <si>
    <t>Ready status: 1 =DU ready</t>
  </si>
  <si>
    <t>System Status</t>
  </si>
  <si>
    <t>1..0</t>
  </si>
  <si>
    <t>BIT Result: 1=Pass 0=Fail</t>
  </si>
  <si>
    <t>4..0</t>
  </si>
  <si>
    <t>1, 2</t>
  </si>
  <si>
    <t>CRC Status: 0=CRC Failed  1=CRC Valid (this is for the current transfer)</t>
  </si>
  <si>
    <t>15..8</t>
  </si>
  <si>
    <t>Location setting of the DCU.  1-152</t>
  </si>
  <si>
    <t>21..16</t>
  </si>
  <si>
    <t>Bypass swtich postion: Indicates the bypass switch position. 0=No in Bypass 1=In Bypass</t>
  </si>
  <si>
    <t>31..24</t>
  </si>
  <si>
    <t>7..6</t>
  </si>
  <si>
    <t>31..12</t>
  </si>
  <si>
    <t>5..2</t>
  </si>
  <si>
    <t>DCU FW Major Rev</t>
  </si>
  <si>
    <t>DCU FW Minor Rev</t>
  </si>
  <si>
    <t>Boresight Command: 1=A Boresight command was issued on the last Data Transfer request</t>
  </si>
  <si>
    <t>Calibration Command: 1 = A Calibration command was issued on the last Data Transfer request</t>
  </si>
  <si>
    <t>ARM Ksine Steering word value</t>
  </si>
  <si>
    <t>Not use</t>
  </si>
  <si>
    <t>6..5</t>
  </si>
  <si>
    <t>System Configuration/Mode:
00 = Error
01 = SWC
10 = Joint
11 = SWCR</t>
  </si>
  <si>
    <t>b_000</t>
  </si>
  <si>
    <t>b_11</t>
  </si>
  <si>
    <t>ARM Initialization Status</t>
  </si>
  <si>
    <t>VCCAUX Voltage</t>
  </si>
  <si>
    <t>Application Ready: 0=Not running 1=Application running</t>
  </si>
  <si>
    <t>Future use</t>
  </si>
  <si>
    <t>31..4</t>
  </si>
  <si>
    <t>ARM Ready: 0=boot not complete, 1=Boot complete</t>
  </si>
  <si>
    <t>[1] These bits will be used by the FPGA as part of the logic that sets the DU Ready LED</t>
  </si>
  <si>
    <t>DCU Type: 0=Alpha, 1=Beta</t>
  </si>
  <si>
    <t>MHz</t>
  </si>
  <si>
    <t>Reg Value</t>
  </si>
  <si>
    <t>Delay (wanted)</t>
  </si>
  <si>
    <t>Delay achived</t>
  </si>
  <si>
    <t>ns</t>
  </si>
  <si>
    <t>Delay in clock counts of the internal SPI clock for reading data back on MISO.</t>
  </si>
  <si>
    <t>[1]: This is considerd the "fine delay" for the SPI read back. Each of the 152 SPI interfaces and it own delay setting (unlike the "course" cable delay that applies to all interfaces).</t>
  </si>
  <si>
    <t>[2] This max delay is one SPI Clock peroid.  The resolution is the FPGA system clock.  The following equation defines the delay calculation.</t>
  </si>
  <si>
    <t>System Clock Frequency =</t>
  </si>
  <si>
    <t>Delay Calculation</t>
  </si>
  <si>
    <t>[1] The following Equation can be used to calculate the Temperature in celcius based on the ADC count value.  Note:  Either the MSB 10-bits can used or the whole 16-bit value can be used for the below equaiton.  The ADCs are only 10-bit but the eniter 16-bits can used when averaging (averaging is set to 16 in the current design).</t>
  </si>
  <si>
    <t>Temperature Calculation</t>
  </si>
  <si>
    <t>ADC Counts</t>
  </si>
  <si>
    <t xml:space="preserve">Temperature  </t>
  </si>
  <si>
    <t>°C</t>
  </si>
  <si>
    <t>ADC Bits used =</t>
  </si>
  <si>
    <t>Decimal</t>
  </si>
  <si>
    <t xml:space="preserve">ADC Counts </t>
  </si>
  <si>
    <t>Hex</t>
  </si>
  <si>
    <t>9C40</t>
  </si>
  <si>
    <t>Voltage Calculation</t>
  </si>
  <si>
    <t xml:space="preserve">Voltage  </t>
  </si>
  <si>
    <t>V</t>
  </si>
  <si>
    <t>[1] The DU sends this info to the DCU this over the SPI bus.  It will not be updated by the DCU until the next SPI Transaction after it was set.</t>
  </si>
  <si>
    <t>Over Temperature alarm</t>
  </si>
  <si>
    <r>
      <rPr>
        <b/>
        <sz val="11"/>
        <color theme="1"/>
        <rFont val="Calibri"/>
        <family val="2"/>
        <scheme val="minor"/>
      </rPr>
      <t>[1]</t>
    </r>
    <r>
      <rPr>
        <sz val="11"/>
        <color theme="1"/>
        <rFont val="Calibri"/>
        <family val="2"/>
        <scheme val="minor"/>
      </rPr>
      <t xml:space="preserve"> There are two temperature alarms for FPGA Die temperature.  The high temp alarm is only an indicator that die temperature is high but not critical.  The Over temperature alarm indicates a die temperature that could be potentially harmful to the device.  Current Thresholds are:
High Temp: Alarm Set = 85C Alarm turn off after set = 80C
Over Temp: Alarm Set = 100C Alarm turn off after set = 95C</t>
    </r>
  </si>
  <si>
    <r>
      <rPr>
        <b/>
        <sz val="11"/>
        <color theme="1"/>
        <rFont val="Calibri"/>
        <family val="2"/>
        <scheme val="minor"/>
      </rPr>
      <t>[3]</t>
    </r>
    <r>
      <rPr>
        <sz val="11"/>
        <color theme="1"/>
        <rFont val="Calibri"/>
        <family val="2"/>
        <scheme val="minor"/>
      </rPr>
      <t xml:space="preserve"> This is the overall Built-In-Test (BIT) result.  It is a rolled up result of all other status bits.</t>
    </r>
  </si>
  <si>
    <r>
      <rPr>
        <b/>
        <sz val="11"/>
        <color theme="1"/>
        <rFont val="Calibri"/>
        <family val="2"/>
        <scheme val="minor"/>
      </rPr>
      <t>[2]</t>
    </r>
    <r>
      <rPr>
        <sz val="11"/>
        <color theme="1"/>
        <rFont val="Calibri"/>
        <family val="2"/>
        <scheme val="minor"/>
      </rPr>
      <t xml:space="preserve"> The currently set voltage thresholds are shown below:
VCCINT: Lower: 0.78 Upper 0.92 (nominal 0.85)
VCCAUX: Lower: 1.75 Upper 1.89 (nominal 1.8)
VBRAM: Lower: 0.78 Upper 0.92 (nominal 0.85)</t>
    </r>
  </si>
  <si>
    <t>30..6</t>
  </si>
  <si>
    <t>Shutdown Command: 0=Normal Operation, 1=Shutdown</t>
  </si>
  <si>
    <t>Commanded Sys Conifg: Indicates if the DCU is commanded to SWC or SWCR mode.  0=SWCR and 1=SWC.</t>
  </si>
  <si>
    <t>BIT (Built-In-Self Test):
Bit16: TBD
Bit17: Compare of DCU Steering Word to Legacy Steering Word.  1=same and 0=different. This status is always one Data Transaction behind.
Bit18: SPI Communicaiton Health: 1=CRC errors under threshold and 0=CRC errors over threshold. Threshold is TBD.
Bit19: Location setting valid: 1=Valid setting and 0=Invalid Setting. Valid settings are 1 to 152
Bit20: Clock Health for internal and external clocks: 1=CPLD PLL Locked and 0=CPLD PLL Not Locked
Bit21: BIT Overall Status: 1=Passed and 0=Failed (roll up of abovwe bits excpet for Bit17, compare)</t>
  </si>
  <si>
    <t>17..16</t>
  </si>
  <si>
    <t>19..18</t>
  </si>
  <si>
    <t>30 .. 20</t>
  </si>
  <si>
    <r>
      <t xml:space="preserve">Scan Limit Calculation Center Frequency Select:
</t>
    </r>
    <r>
      <rPr>
        <sz val="10"/>
        <color theme="1"/>
        <rFont val="Courier New"/>
        <family val="3"/>
      </rPr>
      <t>00 = 442MHz
01 = 444MHz
10 = 445MHz
11 = 446MHz</t>
    </r>
  </si>
  <si>
    <t>11..10</t>
  </si>
  <si>
    <t>arm_ksine_alpha  (steering word sent to ATB)</t>
  </si>
  <si>
    <t>arm_ksine_beta (steering word sent to ATB)</t>
  </si>
  <si>
    <t>SWC Status</t>
  </si>
  <si>
    <t>SWCR Status</t>
  </si>
  <si>
    <r>
      <t xml:space="preserve">TWGS Command:
</t>
    </r>
    <r>
      <rPr>
        <sz val="10"/>
        <color theme="1"/>
        <rFont val="Courier New"/>
        <family val="3"/>
      </rPr>
      <t>00 = None 
01 = Borsite     
10 = Calibration 
11 = Both</t>
    </r>
  </si>
  <si>
    <r>
      <t xml:space="preserve">System Config: (Set my Main control reg)
</t>
    </r>
    <r>
      <rPr>
        <sz val="10"/>
        <color theme="1"/>
        <rFont val="Courier New"/>
        <family val="3"/>
      </rPr>
      <t>00 = Error
01 = SWC
10 = Joint
11 = SCWR</t>
    </r>
  </si>
  <si>
    <t>Sets the output signal Pulse Duration in clock counts.  Pulse Time(s) = Register Value * Sys_Clk period</t>
  </si>
  <si>
    <t>Pulse Delay</t>
  </si>
  <si>
    <t>us</t>
  </si>
  <si>
    <t>Delay Wanted</t>
  </si>
  <si>
    <t>System Clock =</t>
  </si>
  <si>
    <t>[2] This value cannot be less than 100.</t>
  </si>
  <si>
    <t>Last version to affect the register map: 1.3</t>
  </si>
  <si>
    <t>Pusle Duration for /RLTD</t>
  </si>
  <si>
    <t>PBP Emulator Period</t>
  </si>
  <si>
    <t>PBP Emulator Runs</t>
  </si>
  <si>
    <t>Emulated PBP Period.  Period = Register Value / System Clock</t>
  </si>
  <si>
    <t>PBP Period</t>
  </si>
  <si>
    <t>ms</t>
  </si>
  <si>
    <t>Set the number of PBPs to run when in "Internal Emulator" mode in the main control register</t>
  </si>
  <si>
    <t>Software Trigger: Toggle from 0--&gt;1 to run an /RLTD</t>
  </si>
  <si>
    <r>
      <rPr>
        <b/>
        <sz val="11"/>
        <color theme="1"/>
        <rFont val="Arial"/>
        <family val="2"/>
      </rPr>
      <t>[3]</t>
    </r>
    <r>
      <rPr>
        <sz val="11"/>
        <color theme="1"/>
        <rFont val="Arial"/>
        <family val="2"/>
      </rPr>
      <t xml:space="preserve"> When this bit is one the TU will no longer send commands to the ATB or read status information from the ATB</t>
    </r>
  </si>
  <si>
    <r>
      <rPr>
        <b/>
        <sz val="11"/>
        <color theme="1"/>
        <rFont val="Arial"/>
        <family val="2"/>
      </rPr>
      <t>[2]</t>
    </r>
    <r>
      <rPr>
        <sz val="11"/>
        <color theme="1"/>
        <rFont val="Arial"/>
        <family val="2"/>
      </rPr>
      <t xml:space="preserve"> When this bit is toggled from 0--&gt;1 it will generate an /RLTD for the number of times defined in the PBP Runs register at a period defined by the PBP Period Register.  If the PBP Runs register is set to 0 then /RLTDs will be generated as long as this bit is high.</t>
    </r>
  </si>
  <si>
    <t>[1] Once the "Software Trigger" bit in the main control register is toggled from 0 --&gt; 1, PBPs will be generated for the number of times defined in this register at the defined PBP register.  To run again the "Trigger Type" must once again be toggled from 0 --&gt; 1 (i.e. the FW uses a rising edge detection).</t>
  </si>
  <si>
    <t>[2] Setting this value to zero will generate PBPs as long as the "Software Trigger" bit in the main control register is high</t>
  </si>
  <si>
    <t>[1] This setting is only used when in Internal Emulation mode (set in the main control register).  This value is the period at which the internally generated PBP will start an /RLTD.</t>
  </si>
  <si>
    <t>[1] The value sets the pulse duration for outgoing signals.  There are four sepatate registers for /RLTD, Alpha/Beta SW, /RLCP and /RLSC</t>
  </si>
  <si>
    <t>Pulse Duration for Ksine Alpha/Beta Steering Word</t>
  </si>
  <si>
    <t>Pusle Duration for /RLCP</t>
  </si>
  <si>
    <t>Pulse Duration for /RLSC</t>
  </si>
  <si>
    <t>100 (/RLTD)
300 (SW)
8000(/RLCP)
8000(/RLSC)</t>
  </si>
  <si>
    <r>
      <rPr>
        <b/>
        <sz val="11"/>
        <color theme="1"/>
        <rFont val="Arial"/>
        <family val="2"/>
      </rPr>
      <t>[1]</t>
    </r>
    <r>
      <rPr>
        <sz val="11"/>
        <color theme="1"/>
        <rFont val="Arial"/>
        <family val="2"/>
      </rPr>
      <t xml:space="preserve"> When an /RLTD is generated the following signals are also applied for their respective pulse durations: 
Ksine Alpha
Ksine Beta
/RLCP
/RLSC</t>
    </r>
  </si>
  <si>
    <t>Pre /RLTD Time</t>
  </si>
  <si>
    <t>Time to apply /RLSC before /RLTD  Time = Register Value / System Clock</t>
  </si>
  <si>
    <t>[1] This setting defines how long to wait before generating the /RLTD signal after a software trigger.  The /RLSC singal is applied right after the software trigger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</si>
</sst>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color theme="1"/>
      <name val="Arial"/>
      <family val="2"/>
    </font>
    <font>
      <b/>
      <u/>
      <sz val="11"/>
      <color theme="1"/>
      <name val="Calibri"/>
      <family val="2"/>
      <scheme val="minor"/>
    </font>
    <font>
      <b/>
      <sz val="11"/>
      <color theme="1"/>
      <name val="Calibri"/>
      <family val="2"/>
      <scheme val="minor"/>
    </font>
    <font>
      <b/>
      <u/>
      <sz val="10"/>
      <color theme="1"/>
      <name val="Arial"/>
      <family val="2"/>
    </font>
    <font>
      <b/>
      <sz val="11"/>
      <color theme="0"/>
      <name val="Calibri"/>
      <family val="2"/>
      <scheme val="minor"/>
    </font>
    <font>
      <b/>
      <sz val="10"/>
      <color theme="0"/>
      <name val="Arial"/>
      <family val="2"/>
    </font>
    <font>
      <sz val="10"/>
      <color theme="1"/>
      <name val="Courier New"/>
      <family val="3"/>
    </font>
    <font>
      <sz val="11"/>
      <color theme="1"/>
      <name val="Arial"/>
      <family val="2"/>
    </font>
    <font>
      <b/>
      <sz val="11"/>
      <color theme="1"/>
      <name val="Arial"/>
      <family val="2"/>
    </font>
  </fonts>
  <fills count="8">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xf numFmtId="0" fontId="1" fillId="0" borderId="0" xfId="0" applyFont="1" applyAlignment="1">
      <alignment vertical="center" wrapText="1"/>
    </xf>
    <xf numFmtId="0" fontId="2" fillId="0" borderId="0" xfId="0" applyFont="1"/>
    <xf numFmtId="0" fontId="1" fillId="0" borderId="1" xfId="0" applyFont="1" applyBorder="1" applyAlignment="1">
      <alignment vertical="center" wrapText="1"/>
    </xf>
    <xf numFmtId="0" fontId="0" fillId="0" borderId="0" xfId="0" applyAlignment="1">
      <alignment wrapText="1"/>
    </xf>
    <xf numFmtId="0" fontId="3" fillId="0" borderId="0" xfId="0" applyFont="1"/>
    <xf numFmtId="0" fontId="0" fillId="0" borderId="0" xfId="0" applyAlignment="1">
      <alignment vertical="top" wrapText="1"/>
    </xf>
    <xf numFmtId="0" fontId="0" fillId="0" borderId="1" xfId="0" applyBorder="1" applyAlignment="1">
      <alignment horizontal="center"/>
    </xf>
    <xf numFmtId="0" fontId="4" fillId="0" borderId="0" xfId="0" applyFont="1" applyAlignment="1">
      <alignment vertical="center" wrapText="1"/>
    </xf>
    <xf numFmtId="0" fontId="5" fillId="2" borderId="1" xfId="0" applyFont="1" applyFill="1" applyBorder="1"/>
    <xf numFmtId="0" fontId="5" fillId="2" borderId="1" xfId="0" applyFont="1" applyFill="1" applyBorder="1" applyAlignment="1">
      <alignment horizontal="left"/>
    </xf>
    <xf numFmtId="0" fontId="6"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0" fillId="3" borderId="1" xfId="0" applyFill="1" applyBorder="1"/>
    <xf numFmtId="0" fontId="0" fillId="3" borderId="1" xfId="0" applyFill="1" applyBorder="1" applyAlignment="1">
      <alignment horizontal="center"/>
    </xf>
    <xf numFmtId="0" fontId="0" fillId="0" borderId="1" xfId="0" applyBorder="1" applyAlignment="1">
      <alignment wrapText="1"/>
    </xf>
    <xf numFmtId="0" fontId="0" fillId="3" borderId="1" xfId="0" applyFill="1" applyBorder="1" applyAlignment="1">
      <alignment wrapText="1"/>
    </xf>
    <xf numFmtId="0" fontId="0" fillId="3" borderId="1" xfId="0" applyFill="1" applyBorder="1" applyAlignment="1">
      <alignment horizontal="left"/>
    </xf>
    <xf numFmtId="0" fontId="0" fillId="0" borderId="0" xfId="0" applyAlignment="1">
      <alignment horizontal="center"/>
    </xf>
    <xf numFmtId="0" fontId="0" fillId="3" borderId="1" xfId="0"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8" fillId="0" borderId="0" xfId="0" applyFont="1" applyAlignment="1">
      <alignment wrapText="1"/>
    </xf>
    <xf numFmtId="0" fontId="8" fillId="0" borderId="0" xfId="0" applyFont="1"/>
    <xf numFmtId="0" fontId="8" fillId="0" borderId="1" xfId="0" applyFont="1" applyBorder="1"/>
    <xf numFmtId="0" fontId="8" fillId="5" borderId="1" xfId="0" applyFont="1" applyFill="1" applyBorder="1"/>
    <xf numFmtId="0" fontId="8" fillId="6" borderId="1" xfId="0" applyFont="1" applyFill="1" applyBorder="1"/>
    <xf numFmtId="0" fontId="8" fillId="7" borderId="1" xfId="0" applyFont="1" applyFill="1" applyBorder="1"/>
    <xf numFmtId="0" fontId="8" fillId="0" borderId="0" xfId="0" applyFont="1" applyAlignment="1">
      <alignment horizontal="right"/>
    </xf>
    <xf numFmtId="0" fontId="8" fillId="3" borderId="1" xfId="0" applyFont="1" applyFill="1" applyBorder="1"/>
    <xf numFmtId="0" fontId="0" fillId="5" borderId="1" xfId="0" applyFill="1" applyBorder="1"/>
    <xf numFmtId="0" fontId="0" fillId="7" borderId="1" xfId="0" applyFill="1" applyBorder="1"/>
    <xf numFmtId="0" fontId="0" fillId="0" borderId="0" xfId="0" applyAlignment="1">
      <alignment horizontal="right"/>
    </xf>
    <xf numFmtId="0" fontId="0" fillId="6" borderId="1" xfId="0" applyFill="1" applyBorder="1"/>
    <xf numFmtId="0" fontId="0" fillId="4" borderId="1" xfId="0" applyFill="1" applyBorder="1" applyAlignment="1">
      <alignment horizontal="center"/>
    </xf>
    <xf numFmtId="0" fontId="8" fillId="0" borderId="1" xfId="0" applyFont="1" applyBorder="1" applyAlignment="1">
      <alignment horizontal="center"/>
    </xf>
    <xf numFmtId="0" fontId="0" fillId="0" borderId="0" xfId="0" applyFill="1" applyBorder="1" applyAlignment="1">
      <alignment horizontal="center"/>
    </xf>
    <xf numFmtId="0" fontId="0" fillId="0" borderId="0" xfId="0" applyFill="1" applyBorder="1" applyAlignment="1">
      <alignment wrapText="1"/>
    </xf>
    <xf numFmtId="0" fontId="0" fillId="0" borderId="0" xfId="0" applyFill="1" applyBorder="1"/>
    <xf numFmtId="0" fontId="0" fillId="3" borderId="1" xfId="0" applyFill="1" applyBorder="1" applyAlignment="1">
      <alignment horizontal="center" wrapText="1"/>
    </xf>
    <xf numFmtId="0" fontId="0" fillId="0" borderId="1" xfId="0" applyFill="1" applyBorder="1"/>
    <xf numFmtId="0" fontId="0" fillId="0" borderId="0" xfId="0" applyFill="1" applyBorder="1" applyAlignment="1">
      <alignment horizontal="right"/>
    </xf>
    <xf numFmtId="0" fontId="0" fillId="0" borderId="0" xfId="0" applyFill="1" applyBorder="1" applyAlignment="1">
      <alignment horizontal="center"/>
    </xf>
    <xf numFmtId="0" fontId="0" fillId="6" borderId="0" xfId="0" applyFill="1"/>
    <xf numFmtId="0" fontId="8" fillId="6"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6</xdr:row>
      <xdr:rowOff>76200</xdr:rowOff>
    </xdr:from>
    <xdr:to>
      <xdr:col>1</xdr:col>
      <xdr:colOff>5934075</xdr:colOff>
      <xdr:row>7</xdr:row>
      <xdr:rowOff>57150</xdr:rowOff>
    </xdr:to>
    <xdr:pic>
      <xdr:nvPicPr>
        <xdr:cNvPr id="2" name="Picture 1">
          <a:extLst>
            <a:ext uri="{FF2B5EF4-FFF2-40B4-BE49-F238E27FC236}">
              <a16:creationId xmlns:a16="http://schemas.microsoft.com/office/drawing/2014/main" id="{F1DB7DE0-95EF-1222-505C-4B73127A01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3425" y="1409700"/>
          <a:ext cx="59436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6</xdr:row>
      <xdr:rowOff>47625</xdr:rowOff>
    </xdr:from>
    <xdr:to>
      <xdr:col>1</xdr:col>
      <xdr:colOff>5943600</xdr:colOff>
      <xdr:row>7</xdr:row>
      <xdr:rowOff>28575</xdr:rowOff>
    </xdr:to>
    <xdr:pic>
      <xdr:nvPicPr>
        <xdr:cNvPr id="3" name="Picture 2">
          <a:extLst>
            <a:ext uri="{FF2B5EF4-FFF2-40B4-BE49-F238E27FC236}">
              <a16:creationId xmlns:a16="http://schemas.microsoft.com/office/drawing/2014/main" id="{F8E091EE-C75E-AF76-525C-F1EA0B4956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1381125"/>
          <a:ext cx="59436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7</xdr:row>
      <xdr:rowOff>95250</xdr:rowOff>
    </xdr:from>
    <xdr:to>
      <xdr:col>1</xdr:col>
      <xdr:colOff>3971925</xdr:colOff>
      <xdr:row>7</xdr:row>
      <xdr:rowOff>428625</xdr:rowOff>
    </xdr:to>
    <xdr:pic>
      <xdr:nvPicPr>
        <xdr:cNvPr id="2" name="Picture 1">
          <a:extLst>
            <a:ext uri="{FF2B5EF4-FFF2-40B4-BE49-F238E27FC236}">
              <a16:creationId xmlns:a16="http://schemas.microsoft.com/office/drawing/2014/main" id="{0215F197-5953-43A5-8A64-BFB8E3C906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066925"/>
          <a:ext cx="39528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9</xdr:row>
      <xdr:rowOff>66675</xdr:rowOff>
    </xdr:from>
    <xdr:to>
      <xdr:col>1</xdr:col>
      <xdr:colOff>1847850</xdr:colOff>
      <xdr:row>9</xdr:row>
      <xdr:rowOff>428625</xdr:rowOff>
    </xdr:to>
    <xdr:pic>
      <xdr:nvPicPr>
        <xdr:cNvPr id="3" name="Picture 2">
          <a:extLst>
            <a:ext uri="{FF2B5EF4-FFF2-40B4-BE49-F238E27FC236}">
              <a16:creationId xmlns:a16="http://schemas.microsoft.com/office/drawing/2014/main" id="{CB9A6D46-7D9E-42D9-9E0F-09C2509FC06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 y="2733675"/>
          <a:ext cx="18097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161925</xdr:colOff>
      <xdr:row>7</xdr:row>
      <xdr:rowOff>66675</xdr:rowOff>
    </xdr:from>
    <xdr:to>
      <xdr:col>1</xdr:col>
      <xdr:colOff>1800225</xdr:colOff>
      <xdr:row>7</xdr:row>
      <xdr:rowOff>400050</xdr:rowOff>
    </xdr:to>
    <xdr:pic>
      <xdr:nvPicPr>
        <xdr:cNvPr id="4" name="Picture 3">
          <a:extLst>
            <a:ext uri="{FF2B5EF4-FFF2-40B4-BE49-F238E27FC236}">
              <a16:creationId xmlns:a16="http://schemas.microsoft.com/office/drawing/2014/main" id="{BB76E9F6-34DA-80FC-642D-3563C341A91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 y="2038350"/>
          <a:ext cx="1638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257175</xdr:colOff>
      <xdr:row>9</xdr:row>
      <xdr:rowOff>57150</xdr:rowOff>
    </xdr:from>
    <xdr:to>
      <xdr:col>1</xdr:col>
      <xdr:colOff>2276475</xdr:colOff>
      <xdr:row>9</xdr:row>
      <xdr:rowOff>390525</xdr:rowOff>
    </xdr:to>
    <xdr:pic>
      <xdr:nvPicPr>
        <xdr:cNvPr id="5" name="Picture 4">
          <a:extLst>
            <a:ext uri="{FF2B5EF4-FFF2-40B4-BE49-F238E27FC236}">
              <a16:creationId xmlns:a16="http://schemas.microsoft.com/office/drawing/2014/main" id="{1CB215D2-2C5D-3396-F7A7-F0B5B35DE6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0125" y="2724150"/>
          <a:ext cx="2019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8</xdr:row>
      <xdr:rowOff>57150</xdr:rowOff>
    </xdr:from>
    <xdr:to>
      <xdr:col>1</xdr:col>
      <xdr:colOff>5953125</xdr:colOff>
      <xdr:row>8</xdr:row>
      <xdr:rowOff>561975</xdr:rowOff>
    </xdr:to>
    <xdr:pic>
      <xdr:nvPicPr>
        <xdr:cNvPr id="2" name="Picture 1">
          <a:extLst>
            <a:ext uri="{FF2B5EF4-FFF2-40B4-BE49-F238E27FC236}">
              <a16:creationId xmlns:a16="http://schemas.microsoft.com/office/drawing/2014/main" id="{61583B2F-CBC0-B2E0-F0B2-9D1715D85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 y="1943100"/>
          <a:ext cx="594360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4"/>
  <sheetViews>
    <sheetView tabSelected="1" workbookViewId="0"/>
  </sheetViews>
  <sheetFormatPr defaultRowHeight="15" x14ac:dyDescent="0.25"/>
  <cols>
    <col min="1" max="1" width="5.28515625" customWidth="1"/>
    <col min="2" max="2" width="11.42578125" customWidth="1"/>
    <col min="3" max="3" width="16" customWidth="1"/>
    <col min="4" max="4" width="71.7109375" customWidth="1"/>
    <col min="5" max="5" width="15.5703125" customWidth="1"/>
  </cols>
  <sheetData>
    <row r="2" spans="2:5" x14ac:dyDescent="0.25">
      <c r="B2" s="12" t="s">
        <v>10</v>
      </c>
      <c r="C2" s="12" t="s">
        <v>11</v>
      </c>
      <c r="D2" s="12" t="s">
        <v>3</v>
      </c>
      <c r="E2" s="13" t="s">
        <v>12</v>
      </c>
    </row>
    <row r="3" spans="2:5" x14ac:dyDescent="0.25">
      <c r="B3" s="10">
        <v>0</v>
      </c>
      <c r="C3" s="3" t="str">
        <f>"0x"&amp;DEC2HEX((B3)*4,4)</f>
        <v>0x0000</v>
      </c>
      <c r="D3" s="3" t="s">
        <v>13</v>
      </c>
      <c r="E3" s="3" t="s">
        <v>14</v>
      </c>
    </row>
    <row r="4" spans="2:5" x14ac:dyDescent="0.25">
      <c r="B4" s="10">
        <f>B3+1</f>
        <v>1</v>
      </c>
      <c r="C4" s="3" t="str">
        <f t="shared" ref="C4:C34" si="0">"0x"&amp;DEC2HEX((B4)*4,4)</f>
        <v>0x0004</v>
      </c>
      <c r="D4" s="3" t="s">
        <v>28</v>
      </c>
      <c r="E4" s="3" t="s">
        <v>14</v>
      </c>
    </row>
    <row r="5" spans="2:5" x14ac:dyDescent="0.25">
      <c r="B5" s="10">
        <f t="shared" ref="B5:B34" si="1">B4+1</f>
        <v>2</v>
      </c>
      <c r="C5" s="3" t="str">
        <f t="shared" si="0"/>
        <v>0x0008</v>
      </c>
      <c r="D5" s="37" t="s">
        <v>33</v>
      </c>
      <c r="E5" s="3" t="s">
        <v>15</v>
      </c>
    </row>
    <row r="6" spans="2:5" x14ac:dyDescent="0.25">
      <c r="B6" s="10">
        <f t="shared" si="1"/>
        <v>3</v>
      </c>
      <c r="C6" s="3" t="str">
        <f t="shared" si="0"/>
        <v>0x000C</v>
      </c>
      <c r="D6" s="3" t="s">
        <v>120</v>
      </c>
      <c r="E6" s="3" t="s">
        <v>15</v>
      </c>
    </row>
    <row r="7" spans="2:5" x14ac:dyDescent="0.25">
      <c r="B7" s="10">
        <f t="shared" si="1"/>
        <v>4</v>
      </c>
      <c r="C7" s="3" t="str">
        <f t="shared" si="0"/>
        <v>0x0010</v>
      </c>
      <c r="D7" s="3" t="s">
        <v>121</v>
      </c>
      <c r="E7" s="3" t="s">
        <v>15</v>
      </c>
    </row>
    <row r="8" spans="2:5" x14ac:dyDescent="0.25">
      <c r="B8" s="10">
        <f t="shared" si="1"/>
        <v>5</v>
      </c>
      <c r="C8" s="3" t="str">
        <f t="shared" si="0"/>
        <v>0x0014</v>
      </c>
      <c r="D8" s="44" t="s">
        <v>16</v>
      </c>
      <c r="E8" s="3" t="s">
        <v>15</v>
      </c>
    </row>
    <row r="9" spans="2:5" x14ac:dyDescent="0.25">
      <c r="B9" s="10">
        <f t="shared" si="1"/>
        <v>6</v>
      </c>
      <c r="C9" s="3" t="str">
        <f t="shared" si="0"/>
        <v>0x0018</v>
      </c>
      <c r="D9" s="3" t="s">
        <v>16</v>
      </c>
      <c r="E9" s="3" t="s">
        <v>15</v>
      </c>
    </row>
    <row r="10" spans="2:5" x14ac:dyDescent="0.25">
      <c r="B10" s="10">
        <f t="shared" si="1"/>
        <v>7</v>
      </c>
      <c r="C10" s="3" t="str">
        <f t="shared" si="0"/>
        <v>0x001C</v>
      </c>
      <c r="D10" s="3" t="s">
        <v>43</v>
      </c>
      <c r="E10" s="3" t="s">
        <v>14</v>
      </c>
    </row>
    <row r="11" spans="2:5" x14ac:dyDescent="0.25">
      <c r="B11" s="10">
        <f t="shared" si="1"/>
        <v>8</v>
      </c>
      <c r="C11" s="3" t="str">
        <f t="shared" si="0"/>
        <v>0x0020</v>
      </c>
      <c r="D11" s="3" t="s">
        <v>51</v>
      </c>
      <c r="E11" s="3" t="s">
        <v>14</v>
      </c>
    </row>
    <row r="12" spans="2:5" x14ac:dyDescent="0.25">
      <c r="B12" s="10">
        <f t="shared" si="1"/>
        <v>9</v>
      </c>
      <c r="C12" s="3" t="str">
        <f t="shared" si="0"/>
        <v>0x0024</v>
      </c>
      <c r="D12" s="3" t="s">
        <v>16</v>
      </c>
      <c r="E12" s="3" t="s">
        <v>15</v>
      </c>
    </row>
    <row r="13" spans="2:5" x14ac:dyDescent="0.25">
      <c r="B13" s="10">
        <f t="shared" si="1"/>
        <v>10</v>
      </c>
      <c r="C13" s="3" t="str">
        <f t="shared" si="0"/>
        <v>0x0028</v>
      </c>
      <c r="D13" s="3" t="s">
        <v>16</v>
      </c>
      <c r="E13" s="3" t="s">
        <v>15</v>
      </c>
    </row>
    <row r="14" spans="2:5" x14ac:dyDescent="0.25">
      <c r="B14" s="10">
        <f t="shared" si="1"/>
        <v>11</v>
      </c>
      <c r="C14" s="3" t="str">
        <f t="shared" si="0"/>
        <v>0x002C</v>
      </c>
      <c r="D14" s="3" t="s">
        <v>75</v>
      </c>
      <c r="E14" s="3" t="s">
        <v>15</v>
      </c>
    </row>
    <row r="15" spans="2:5" x14ac:dyDescent="0.25">
      <c r="B15" s="10">
        <f t="shared" si="1"/>
        <v>12</v>
      </c>
      <c r="C15" s="3" t="str">
        <f t="shared" si="0"/>
        <v>0x0030</v>
      </c>
      <c r="D15" s="3" t="s">
        <v>122</v>
      </c>
      <c r="E15" s="3" t="s">
        <v>14</v>
      </c>
    </row>
    <row r="16" spans="2:5" x14ac:dyDescent="0.25">
      <c r="B16" s="10">
        <f t="shared" si="1"/>
        <v>13</v>
      </c>
      <c r="C16" s="3" t="str">
        <f t="shared" si="0"/>
        <v>0x0034</v>
      </c>
      <c r="D16" s="3" t="s">
        <v>123</v>
      </c>
      <c r="E16" s="3" t="s">
        <v>14</v>
      </c>
    </row>
    <row r="17" spans="2:5" x14ac:dyDescent="0.25">
      <c r="B17" s="10">
        <f t="shared" si="1"/>
        <v>14</v>
      </c>
      <c r="C17" s="3" t="str">
        <f t="shared" si="0"/>
        <v>0x0038</v>
      </c>
      <c r="D17" s="37" t="s">
        <v>133</v>
      </c>
      <c r="E17" s="3" t="s">
        <v>15</v>
      </c>
    </row>
    <row r="18" spans="2:5" x14ac:dyDescent="0.25">
      <c r="B18" s="10">
        <f t="shared" si="1"/>
        <v>15</v>
      </c>
      <c r="C18" s="3" t="str">
        <f t="shared" si="0"/>
        <v>0x003C</v>
      </c>
      <c r="D18" s="37" t="s">
        <v>148</v>
      </c>
      <c r="E18" s="3" t="s">
        <v>15</v>
      </c>
    </row>
    <row r="19" spans="2:5" x14ac:dyDescent="0.25">
      <c r="B19" s="10">
        <f t="shared" si="1"/>
        <v>16</v>
      </c>
      <c r="C19" s="3" t="str">
        <f t="shared" si="0"/>
        <v>0x0040</v>
      </c>
      <c r="D19" s="37" t="s">
        <v>149</v>
      </c>
      <c r="E19" s="3" t="s">
        <v>15</v>
      </c>
    </row>
    <row r="20" spans="2:5" x14ac:dyDescent="0.25">
      <c r="B20" s="10">
        <f t="shared" si="1"/>
        <v>17</v>
      </c>
      <c r="C20" s="3" t="str">
        <f t="shared" si="0"/>
        <v>0x0044</v>
      </c>
      <c r="D20" s="37" t="s">
        <v>147</v>
      </c>
      <c r="E20" s="3" t="s">
        <v>15</v>
      </c>
    </row>
    <row r="21" spans="2:5" x14ac:dyDescent="0.25">
      <c r="B21" s="10">
        <f t="shared" si="1"/>
        <v>18</v>
      </c>
      <c r="C21" s="3" t="str">
        <f t="shared" si="0"/>
        <v>0x0048</v>
      </c>
      <c r="D21" s="37" t="s">
        <v>134</v>
      </c>
      <c r="E21" s="3" t="s">
        <v>15</v>
      </c>
    </row>
    <row r="22" spans="2:5" x14ac:dyDescent="0.25">
      <c r="B22" s="10">
        <f t="shared" si="1"/>
        <v>19</v>
      </c>
      <c r="C22" s="3" t="str">
        <f t="shared" si="0"/>
        <v>0x004C</v>
      </c>
      <c r="D22" s="37" t="s">
        <v>135</v>
      </c>
      <c r="E22" s="3" t="s">
        <v>15</v>
      </c>
    </row>
    <row r="23" spans="2:5" x14ac:dyDescent="0.25">
      <c r="B23" s="10">
        <f t="shared" si="1"/>
        <v>20</v>
      </c>
      <c r="C23" s="3" t="str">
        <f t="shared" si="0"/>
        <v>0x0050</v>
      </c>
      <c r="D23" s="37" t="s">
        <v>152</v>
      </c>
      <c r="E23" s="3" t="s">
        <v>15</v>
      </c>
    </row>
    <row r="24" spans="2:5" x14ac:dyDescent="0.25">
      <c r="B24" s="10">
        <f t="shared" si="1"/>
        <v>21</v>
      </c>
      <c r="C24" s="3" t="str">
        <f t="shared" si="0"/>
        <v>0x0054</v>
      </c>
      <c r="D24" s="3" t="s">
        <v>16</v>
      </c>
      <c r="E24" s="3" t="s">
        <v>15</v>
      </c>
    </row>
    <row r="25" spans="2:5" x14ac:dyDescent="0.25">
      <c r="B25" s="10">
        <f t="shared" si="1"/>
        <v>22</v>
      </c>
      <c r="C25" s="3" t="str">
        <f t="shared" si="0"/>
        <v>0x0058</v>
      </c>
      <c r="D25" s="3" t="s">
        <v>16</v>
      </c>
      <c r="E25" s="3" t="s">
        <v>15</v>
      </c>
    </row>
    <row r="26" spans="2:5" x14ac:dyDescent="0.25">
      <c r="B26" s="10">
        <f t="shared" si="1"/>
        <v>23</v>
      </c>
      <c r="C26" s="3" t="str">
        <f t="shared" si="0"/>
        <v>0x005C</v>
      </c>
      <c r="D26" s="3" t="s">
        <v>16</v>
      </c>
      <c r="E26" s="3" t="s">
        <v>15</v>
      </c>
    </row>
    <row r="27" spans="2:5" x14ac:dyDescent="0.25">
      <c r="B27" s="10">
        <f t="shared" si="1"/>
        <v>24</v>
      </c>
      <c r="C27" s="3" t="str">
        <f t="shared" si="0"/>
        <v>0x0060</v>
      </c>
      <c r="D27" s="3" t="s">
        <v>16</v>
      </c>
      <c r="E27" s="3" t="s">
        <v>15</v>
      </c>
    </row>
    <row r="28" spans="2:5" x14ac:dyDescent="0.25">
      <c r="B28" s="10">
        <f t="shared" si="1"/>
        <v>25</v>
      </c>
      <c r="C28" s="3" t="str">
        <f t="shared" si="0"/>
        <v>0x0064</v>
      </c>
      <c r="D28" s="3" t="s">
        <v>16</v>
      </c>
      <c r="E28" s="3" t="s">
        <v>15</v>
      </c>
    </row>
    <row r="29" spans="2:5" x14ac:dyDescent="0.25">
      <c r="B29" s="10">
        <f t="shared" si="1"/>
        <v>26</v>
      </c>
      <c r="C29" s="3" t="str">
        <f t="shared" si="0"/>
        <v>0x0068</v>
      </c>
      <c r="D29" s="3" t="s">
        <v>16</v>
      </c>
      <c r="E29" s="3" t="s">
        <v>15</v>
      </c>
    </row>
    <row r="30" spans="2:5" x14ac:dyDescent="0.25">
      <c r="B30" s="10">
        <f t="shared" si="1"/>
        <v>27</v>
      </c>
      <c r="C30" s="3" t="str">
        <f t="shared" si="0"/>
        <v>0x006C</v>
      </c>
      <c r="D30" s="3" t="s">
        <v>29</v>
      </c>
      <c r="E30" s="3" t="s">
        <v>14</v>
      </c>
    </row>
    <row r="31" spans="2:5" x14ac:dyDescent="0.25">
      <c r="B31" s="10">
        <f t="shared" si="1"/>
        <v>28</v>
      </c>
      <c r="C31" s="3" t="str">
        <f t="shared" si="0"/>
        <v>0x0070</v>
      </c>
      <c r="D31" s="3" t="s">
        <v>34</v>
      </c>
      <c r="E31" s="3" t="s">
        <v>14</v>
      </c>
    </row>
    <row r="32" spans="2:5" x14ac:dyDescent="0.25">
      <c r="B32" s="10">
        <f t="shared" si="1"/>
        <v>29</v>
      </c>
      <c r="C32" s="3" t="str">
        <f t="shared" si="0"/>
        <v>0x0074</v>
      </c>
      <c r="D32" s="3" t="s">
        <v>76</v>
      </c>
      <c r="E32" s="3" t="s">
        <v>14</v>
      </c>
    </row>
    <row r="33" spans="2:5" x14ac:dyDescent="0.25">
      <c r="B33" s="10">
        <f t="shared" si="1"/>
        <v>30</v>
      </c>
      <c r="C33" s="3" t="str">
        <f t="shared" si="0"/>
        <v>0x0078</v>
      </c>
      <c r="D33" s="3" t="s">
        <v>40</v>
      </c>
      <c r="E33" s="3" t="s">
        <v>14</v>
      </c>
    </row>
    <row r="34" spans="2:5" x14ac:dyDescent="0.25">
      <c r="B34" s="10">
        <f t="shared" si="1"/>
        <v>31</v>
      </c>
      <c r="C34" s="3" t="str">
        <f t="shared" si="0"/>
        <v>0x007C</v>
      </c>
      <c r="D34" s="3" t="s">
        <v>9</v>
      </c>
      <c r="E34" s="3" t="s">
        <v>15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8"/>
  <sheetViews>
    <sheetView workbookViewId="0">
      <selection activeCell="B5" sqref="B5"/>
    </sheetView>
  </sheetViews>
  <sheetFormatPr defaultRowHeight="15" x14ac:dyDescent="0.25"/>
  <cols>
    <col min="1" max="1" width="11.140625" style="1" customWidth="1"/>
    <col min="2" max="2" width="76.42578125" customWidth="1"/>
    <col min="3" max="3" width="12.5703125" customWidth="1"/>
  </cols>
  <sheetData>
    <row r="2" spans="1:5" x14ac:dyDescent="0.25">
      <c r="A2" s="14" t="s">
        <v>0</v>
      </c>
      <c r="B2" s="14" t="s">
        <v>1</v>
      </c>
      <c r="C2" s="14" t="s">
        <v>20</v>
      </c>
      <c r="D2" s="12" t="s">
        <v>21</v>
      </c>
      <c r="E2" s="12" t="s">
        <v>22</v>
      </c>
    </row>
    <row r="3" spans="1:5" x14ac:dyDescent="0.25">
      <c r="A3" s="15" t="s">
        <v>6</v>
      </c>
      <c r="B3" s="16" t="s">
        <v>2</v>
      </c>
      <c r="C3" s="17"/>
      <c r="D3" s="17"/>
      <c r="E3" s="17"/>
    </row>
    <row r="4" spans="1:5" x14ac:dyDescent="0.25">
      <c r="A4" s="10" t="s">
        <v>5</v>
      </c>
      <c r="B4" s="3" t="s">
        <v>17</v>
      </c>
      <c r="C4" s="3" t="s">
        <v>18</v>
      </c>
      <c r="D4" s="10" t="s">
        <v>19</v>
      </c>
      <c r="E4" s="10"/>
    </row>
    <row r="6" spans="1:5" x14ac:dyDescent="0.25">
      <c r="B6" s="5" t="s">
        <v>7</v>
      </c>
    </row>
    <row r="7" spans="1:5" ht="15" customHeight="1" x14ac:dyDescent="0.25">
      <c r="B7" s="9" t="s">
        <v>132</v>
      </c>
    </row>
    <row r="8" spans="1:5" ht="15" customHeight="1"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16"/>
  <sheetViews>
    <sheetView workbookViewId="0"/>
  </sheetViews>
  <sheetFormatPr defaultRowHeight="15" x14ac:dyDescent="0.25"/>
  <cols>
    <col min="1" max="1" width="11.140625" style="1" customWidth="1"/>
    <col min="2" max="2" width="89.85546875" customWidth="1"/>
    <col min="3" max="3" width="11.570312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53</v>
      </c>
      <c r="C3" s="17" t="s">
        <v>14</v>
      </c>
      <c r="D3" s="18">
        <v>0</v>
      </c>
      <c r="E3" s="23">
        <v>3</v>
      </c>
    </row>
    <row r="4" spans="1:5" x14ac:dyDescent="0.25">
      <c r="A4" s="10" t="s">
        <v>111</v>
      </c>
      <c r="B4" s="19" t="s">
        <v>2</v>
      </c>
      <c r="C4" s="3"/>
      <c r="D4" s="10"/>
      <c r="E4" s="10"/>
    </row>
    <row r="5" spans="1:5" x14ac:dyDescent="0.25">
      <c r="A5" s="18">
        <v>5</v>
      </c>
      <c r="B5" s="17" t="s">
        <v>107</v>
      </c>
      <c r="C5" s="33" t="s">
        <v>14</v>
      </c>
      <c r="D5" s="18">
        <v>0</v>
      </c>
      <c r="E5" s="18">
        <v>1</v>
      </c>
    </row>
    <row r="6" spans="1:5" x14ac:dyDescent="0.25">
      <c r="A6" s="10">
        <v>4</v>
      </c>
      <c r="B6" s="3" t="s">
        <v>38</v>
      </c>
      <c r="C6" s="28" t="s">
        <v>14</v>
      </c>
      <c r="D6" s="10">
        <v>0</v>
      </c>
      <c r="E6" s="10">
        <v>2</v>
      </c>
    </row>
    <row r="7" spans="1:5" x14ac:dyDescent="0.25">
      <c r="A7" s="18">
        <v>3</v>
      </c>
      <c r="B7" s="17" t="s">
        <v>37</v>
      </c>
      <c r="C7" s="33" t="s">
        <v>14</v>
      </c>
      <c r="D7" s="18">
        <v>0</v>
      </c>
      <c r="E7" s="18">
        <v>2</v>
      </c>
    </row>
    <row r="8" spans="1:5" x14ac:dyDescent="0.25">
      <c r="A8" s="10">
        <v>2</v>
      </c>
      <c r="B8" s="3" t="s">
        <v>36</v>
      </c>
      <c r="C8" s="28" t="s">
        <v>14</v>
      </c>
      <c r="D8" s="10">
        <v>0</v>
      </c>
      <c r="E8" s="10">
        <v>2</v>
      </c>
    </row>
    <row r="9" spans="1:5" x14ac:dyDescent="0.25">
      <c r="A9" s="18">
        <v>1</v>
      </c>
      <c r="B9" s="17" t="s">
        <v>35</v>
      </c>
      <c r="C9" s="33" t="s">
        <v>14</v>
      </c>
      <c r="D9" s="18">
        <v>0</v>
      </c>
      <c r="E9" s="18">
        <v>1</v>
      </c>
    </row>
    <row r="10" spans="1:5" x14ac:dyDescent="0.25">
      <c r="A10" s="10">
        <v>0</v>
      </c>
      <c r="B10" s="3" t="s">
        <v>50</v>
      </c>
      <c r="C10" s="28" t="s">
        <v>14</v>
      </c>
      <c r="D10" s="10">
        <v>0</v>
      </c>
      <c r="E10" s="10"/>
    </row>
    <row r="12" spans="1:5" x14ac:dyDescent="0.25">
      <c r="B12" s="5" t="s">
        <v>7</v>
      </c>
    </row>
    <row r="13" spans="1:5" x14ac:dyDescent="0.25">
      <c r="B13" s="7"/>
    </row>
    <row r="14" spans="1:5" ht="75" x14ac:dyDescent="0.25">
      <c r="B14" s="7" t="s">
        <v>108</v>
      </c>
    </row>
    <row r="15" spans="1:5" ht="60" x14ac:dyDescent="0.25">
      <c r="B15" s="7" t="s">
        <v>110</v>
      </c>
    </row>
    <row r="16" spans="1:5" x14ac:dyDescent="0.25">
      <c r="B16" s="7" t="s">
        <v>109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F23"/>
  <sheetViews>
    <sheetView workbookViewId="0"/>
  </sheetViews>
  <sheetFormatPr defaultRowHeight="15" x14ac:dyDescent="0.25"/>
  <cols>
    <col min="1" max="1" width="11.140625" style="1" customWidth="1"/>
    <col min="2" max="2" width="124.140625" customWidth="1"/>
    <col min="3" max="3" width="12.5703125" customWidth="1"/>
    <col min="4" max="4" width="13.140625" customWidth="1"/>
    <col min="5" max="5" width="7.85546875" customWidth="1"/>
  </cols>
  <sheetData>
    <row r="2" spans="1:6" ht="15" customHeight="1" x14ac:dyDescent="0.25">
      <c r="A2" s="14" t="s">
        <v>0</v>
      </c>
      <c r="B2" s="14" t="s">
        <v>1</v>
      </c>
      <c r="C2" s="14" t="s">
        <v>20</v>
      </c>
      <c r="D2" s="12" t="s">
        <v>21</v>
      </c>
      <c r="E2" s="12" t="s">
        <v>22</v>
      </c>
    </row>
    <row r="3" spans="1:6" ht="15" customHeight="1" x14ac:dyDescent="0.25">
      <c r="A3" s="15">
        <v>31</v>
      </c>
      <c r="B3" s="16" t="s">
        <v>39</v>
      </c>
      <c r="C3" s="17" t="s">
        <v>23</v>
      </c>
      <c r="D3" s="18">
        <v>0</v>
      </c>
      <c r="E3" s="18"/>
    </row>
    <row r="4" spans="1:6" ht="15" customHeight="1" x14ac:dyDescent="0.25">
      <c r="A4" s="24" t="s">
        <v>117</v>
      </c>
      <c r="B4" s="6" t="s">
        <v>2</v>
      </c>
      <c r="C4" s="3" t="s">
        <v>23</v>
      </c>
      <c r="D4" s="10">
        <v>0</v>
      </c>
      <c r="E4" s="10"/>
    </row>
    <row r="5" spans="1:6" ht="15" customHeight="1" x14ac:dyDescent="0.25">
      <c r="A5" s="15" t="s">
        <v>116</v>
      </c>
      <c r="B5" s="16" t="s">
        <v>30</v>
      </c>
      <c r="C5" s="17" t="s">
        <v>23</v>
      </c>
      <c r="D5" s="18">
        <v>0</v>
      </c>
      <c r="E5" s="18"/>
    </row>
    <row r="6" spans="1:6" ht="68.25" customHeight="1" x14ac:dyDescent="0.25">
      <c r="A6" s="24" t="s">
        <v>115</v>
      </c>
      <c r="B6" s="6" t="s">
        <v>118</v>
      </c>
      <c r="C6" s="3" t="s">
        <v>23</v>
      </c>
      <c r="D6" s="10" t="s">
        <v>73</v>
      </c>
      <c r="E6" s="10"/>
    </row>
    <row r="7" spans="1:6" ht="15" customHeight="1" x14ac:dyDescent="0.25">
      <c r="A7" s="15" t="s">
        <v>25</v>
      </c>
      <c r="B7" s="16" t="s">
        <v>30</v>
      </c>
      <c r="C7" s="17" t="s">
        <v>23</v>
      </c>
      <c r="D7" s="18">
        <v>0</v>
      </c>
      <c r="E7" s="18"/>
    </row>
    <row r="8" spans="1:6" ht="15" customHeight="1" x14ac:dyDescent="0.25">
      <c r="A8" s="24">
        <v>12</v>
      </c>
      <c r="B8" s="6" t="s">
        <v>112</v>
      </c>
      <c r="C8" s="3" t="s">
        <v>23</v>
      </c>
      <c r="D8" s="10">
        <v>0</v>
      </c>
      <c r="E8" s="10">
        <v>3</v>
      </c>
    </row>
    <row r="9" spans="1:6" ht="15" customHeight="1" x14ac:dyDescent="0.25">
      <c r="A9" s="15" t="s">
        <v>119</v>
      </c>
      <c r="B9" s="16" t="s">
        <v>30</v>
      </c>
      <c r="C9" s="17" t="s">
        <v>23</v>
      </c>
      <c r="D9" s="18">
        <v>0</v>
      </c>
      <c r="E9" s="18"/>
    </row>
    <row r="10" spans="1:6" ht="68.45" customHeight="1" x14ac:dyDescent="0.25">
      <c r="A10" s="24">
        <v>9.8000000000000007</v>
      </c>
      <c r="B10" s="6" t="s">
        <v>124</v>
      </c>
      <c r="C10" s="3" t="s">
        <v>23</v>
      </c>
      <c r="D10" s="10" t="s">
        <v>73</v>
      </c>
      <c r="E10" s="10"/>
    </row>
    <row r="11" spans="1:6" ht="15" customHeight="1" x14ac:dyDescent="0.25">
      <c r="A11" s="15">
        <v>7</v>
      </c>
      <c r="B11" s="16" t="s">
        <v>30</v>
      </c>
      <c r="C11" s="17" t="s">
        <v>23</v>
      </c>
      <c r="D11" s="18">
        <v>0</v>
      </c>
      <c r="E11" s="18"/>
    </row>
    <row r="12" spans="1:6" ht="69" customHeight="1" x14ac:dyDescent="0.25">
      <c r="A12" s="24" t="s">
        <v>71</v>
      </c>
      <c r="B12" s="6" t="s">
        <v>125</v>
      </c>
      <c r="C12" s="3" t="s">
        <v>23</v>
      </c>
      <c r="D12" s="10" t="s">
        <v>74</v>
      </c>
      <c r="E12" s="10"/>
    </row>
    <row r="13" spans="1:6" ht="15" customHeight="1" x14ac:dyDescent="0.25">
      <c r="A13" s="15">
        <v>4</v>
      </c>
      <c r="B13" s="16" t="s">
        <v>30</v>
      </c>
      <c r="C13" s="17" t="s">
        <v>23</v>
      </c>
      <c r="D13" s="18">
        <v>1</v>
      </c>
      <c r="E13" s="18"/>
    </row>
    <row r="14" spans="1:6" ht="15" customHeight="1" x14ac:dyDescent="0.25">
      <c r="A14" s="24">
        <v>3</v>
      </c>
      <c r="B14" s="6" t="s">
        <v>30</v>
      </c>
      <c r="C14" s="3" t="s">
        <v>23</v>
      </c>
      <c r="D14" s="10">
        <v>0</v>
      </c>
      <c r="E14" s="10"/>
    </row>
    <row r="15" spans="1:6" ht="15" customHeight="1" x14ac:dyDescent="0.25">
      <c r="A15" s="15">
        <v>2</v>
      </c>
      <c r="B15" s="16" t="s">
        <v>140</v>
      </c>
      <c r="C15" s="17" t="s">
        <v>23</v>
      </c>
      <c r="D15" s="18">
        <v>0</v>
      </c>
      <c r="E15" s="18" t="s">
        <v>55</v>
      </c>
      <c r="F15" s="47"/>
    </row>
    <row r="16" spans="1:6" ht="15" customHeight="1" x14ac:dyDescent="0.25">
      <c r="A16" s="24">
        <v>1</v>
      </c>
      <c r="B16" s="6" t="s">
        <v>30</v>
      </c>
      <c r="C16" s="3" t="s">
        <v>23</v>
      </c>
      <c r="D16" s="10">
        <v>0</v>
      </c>
      <c r="E16" s="10"/>
    </row>
    <row r="17" spans="1:5" ht="15" customHeight="1" x14ac:dyDescent="0.25">
      <c r="A17" s="15">
        <v>0</v>
      </c>
      <c r="B17" s="16" t="s">
        <v>30</v>
      </c>
      <c r="C17" s="17" t="s">
        <v>23</v>
      </c>
      <c r="D17" s="18">
        <v>0</v>
      </c>
      <c r="E17" s="18"/>
    </row>
    <row r="18" spans="1:5" ht="15" customHeight="1" x14ac:dyDescent="0.25">
      <c r="A18" s="25"/>
      <c r="B18" s="4"/>
      <c r="D18" s="22"/>
      <c r="E18" s="22"/>
    </row>
    <row r="20" spans="1:5" x14ac:dyDescent="0.25">
      <c r="B20" s="11" t="s">
        <v>7</v>
      </c>
    </row>
    <row r="21" spans="1:5" ht="72.75" x14ac:dyDescent="0.25">
      <c r="B21" s="48" t="s">
        <v>151</v>
      </c>
    </row>
    <row r="22" spans="1:5" ht="44.25" x14ac:dyDescent="0.25">
      <c r="B22" s="48" t="s">
        <v>142</v>
      </c>
    </row>
    <row r="23" spans="1:5" x14ac:dyDescent="0.25">
      <c r="B23" s="26" t="s">
        <v>141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7E7B-A1B0-494F-9CB9-3EBE05669CEA}">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32</v>
      </c>
      <c r="B3" s="20" t="s">
        <v>70</v>
      </c>
      <c r="C3" s="17" t="s">
        <v>23</v>
      </c>
      <c r="D3" s="18"/>
      <c r="E3" s="18"/>
    </row>
    <row r="4" spans="1:5" x14ac:dyDescent="0.25">
      <c r="A4" s="10" t="s">
        <v>31</v>
      </c>
      <c r="B4" s="3" t="s">
        <v>69</v>
      </c>
      <c r="C4" s="3" t="s">
        <v>23</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4320-DA2C-4E0A-AD8B-18F55EF76D02}">
  <dimension ref="A2:E11"/>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44</v>
      </c>
      <c r="B3" s="16" t="s">
        <v>2</v>
      </c>
      <c r="C3" s="17" t="s">
        <v>19</v>
      </c>
      <c r="D3" s="18">
        <v>0</v>
      </c>
      <c r="E3" s="18"/>
    </row>
    <row r="4" spans="1:5" x14ac:dyDescent="0.25">
      <c r="A4" s="24">
        <v>4</v>
      </c>
      <c r="B4" s="6" t="s">
        <v>45</v>
      </c>
      <c r="C4" s="3" t="s">
        <v>14</v>
      </c>
      <c r="D4" s="10"/>
      <c r="E4" s="10"/>
    </row>
    <row r="5" spans="1:5" x14ac:dyDescent="0.25">
      <c r="A5" s="15">
        <v>3</v>
      </c>
      <c r="B5" s="16" t="s">
        <v>46</v>
      </c>
      <c r="C5" s="17" t="s">
        <v>14</v>
      </c>
      <c r="D5" s="18"/>
      <c r="E5" s="18"/>
    </row>
    <row r="6" spans="1:5" x14ac:dyDescent="0.25">
      <c r="A6" s="24">
        <v>2</v>
      </c>
      <c r="B6" s="6" t="s">
        <v>47</v>
      </c>
      <c r="C6" s="3" t="s">
        <v>14</v>
      </c>
      <c r="D6" s="10"/>
      <c r="E6" s="10"/>
    </row>
    <row r="7" spans="1:5" x14ac:dyDescent="0.25">
      <c r="A7" s="15">
        <v>1</v>
      </c>
      <c r="B7" s="16" t="s">
        <v>48</v>
      </c>
      <c r="C7" s="17" t="s">
        <v>14</v>
      </c>
      <c r="D7" s="18">
        <v>0</v>
      </c>
      <c r="E7" s="18"/>
    </row>
    <row r="8" spans="1:5" x14ac:dyDescent="0.25">
      <c r="A8" s="24">
        <v>0</v>
      </c>
      <c r="B8" s="6" t="s">
        <v>49</v>
      </c>
      <c r="C8" s="3" t="s">
        <v>14</v>
      </c>
      <c r="D8" s="10">
        <v>0</v>
      </c>
      <c r="E8" s="10"/>
    </row>
    <row r="9" spans="1:5" x14ac:dyDescent="0.25">
      <c r="A9" s="25"/>
      <c r="B9" s="4"/>
      <c r="D9" s="22"/>
      <c r="E9" s="22"/>
    </row>
    <row r="11" spans="1:5" x14ac:dyDescent="0.25">
      <c r="B11" s="11" t="s">
        <v>7</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2709-FD1F-472D-BEB9-448A2B1AE61A}">
  <dimension ref="A2:E1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63</v>
      </c>
      <c r="B3" s="16" t="s">
        <v>2</v>
      </c>
      <c r="C3" s="17" t="s">
        <v>19</v>
      </c>
      <c r="D3" s="18">
        <v>0</v>
      </c>
      <c r="E3" s="18"/>
    </row>
    <row r="4" spans="1:5" x14ac:dyDescent="0.25">
      <c r="A4" s="24" t="s">
        <v>119</v>
      </c>
      <c r="B4" s="6" t="s">
        <v>30</v>
      </c>
      <c r="C4" s="3"/>
      <c r="D4" s="10"/>
      <c r="E4" s="10"/>
    </row>
    <row r="5" spans="1:5" x14ac:dyDescent="0.25">
      <c r="A5" s="15">
        <v>9</v>
      </c>
      <c r="B5" s="16" t="s">
        <v>30</v>
      </c>
      <c r="C5" s="17" t="s">
        <v>14</v>
      </c>
      <c r="D5" s="18">
        <v>0</v>
      </c>
      <c r="E5" s="18"/>
    </row>
    <row r="6" spans="1:5" x14ac:dyDescent="0.25">
      <c r="A6" s="24">
        <v>8</v>
      </c>
      <c r="B6" s="6" t="s">
        <v>30</v>
      </c>
      <c r="C6" s="3" t="s">
        <v>14</v>
      </c>
      <c r="D6" s="10">
        <v>0</v>
      </c>
      <c r="E6" s="10"/>
    </row>
    <row r="7" spans="1:5" x14ac:dyDescent="0.25">
      <c r="A7" s="15" t="s">
        <v>62</v>
      </c>
      <c r="B7" s="16" t="s">
        <v>30</v>
      </c>
      <c r="C7" s="17" t="s">
        <v>14</v>
      </c>
      <c r="D7" s="18">
        <v>0</v>
      </c>
      <c r="E7" s="18"/>
    </row>
    <row r="8" spans="1:5" x14ac:dyDescent="0.25">
      <c r="A8" s="24">
        <v>5</v>
      </c>
      <c r="B8" s="6" t="s">
        <v>68</v>
      </c>
      <c r="C8" s="3" t="s">
        <v>14</v>
      </c>
      <c r="D8" s="10">
        <v>0</v>
      </c>
      <c r="E8" s="10"/>
    </row>
    <row r="9" spans="1:5" x14ac:dyDescent="0.25">
      <c r="A9" s="15">
        <v>4</v>
      </c>
      <c r="B9" s="16" t="s">
        <v>67</v>
      </c>
      <c r="C9" s="17" t="s">
        <v>14</v>
      </c>
      <c r="D9" s="18">
        <v>0</v>
      </c>
      <c r="E9" s="18"/>
    </row>
    <row r="10" spans="1:5" x14ac:dyDescent="0.25">
      <c r="A10" s="24">
        <v>3</v>
      </c>
      <c r="B10" s="6" t="s">
        <v>30</v>
      </c>
      <c r="C10" s="3" t="s">
        <v>14</v>
      </c>
      <c r="D10" s="10">
        <v>0</v>
      </c>
      <c r="E10" s="10"/>
    </row>
    <row r="11" spans="1:5" x14ac:dyDescent="0.25">
      <c r="A11" s="15">
        <v>2</v>
      </c>
      <c r="B11" s="16" t="s">
        <v>30</v>
      </c>
      <c r="C11" s="17" t="s">
        <v>14</v>
      </c>
      <c r="D11" s="18">
        <v>0</v>
      </c>
      <c r="E11" s="18"/>
    </row>
    <row r="12" spans="1:5" ht="65.45" customHeight="1" x14ac:dyDescent="0.25">
      <c r="A12" s="24" t="s">
        <v>52</v>
      </c>
      <c r="B12" s="6" t="s">
        <v>72</v>
      </c>
      <c r="C12" s="3" t="s">
        <v>14</v>
      </c>
      <c r="D12" s="10">
        <v>0</v>
      </c>
      <c r="E12" s="10"/>
    </row>
    <row r="13" spans="1:5" x14ac:dyDescent="0.25">
      <c r="A13" s="25"/>
      <c r="B13" s="4"/>
      <c r="D13" s="22"/>
      <c r="E13" s="22"/>
    </row>
    <row r="15" spans="1:5" x14ac:dyDescent="0.25">
      <c r="B15" s="11" t="s">
        <v>7</v>
      </c>
    </row>
    <row r="16" spans="1:5" x14ac:dyDescent="0.25">
      <c r="B16" s="26"/>
    </row>
    <row r="17" spans="2:2" x14ac:dyDescent="0.25">
      <c r="B17" s="26"/>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8078-AA38-4329-AB98-1F4595D3CC35}">
  <dimension ref="A2:E10"/>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79</v>
      </c>
      <c r="B3" s="20" t="s">
        <v>2</v>
      </c>
      <c r="C3" s="17" t="s">
        <v>23</v>
      </c>
      <c r="D3" s="18"/>
      <c r="E3" s="18"/>
    </row>
    <row r="4" spans="1:5" x14ac:dyDescent="0.25">
      <c r="A4" s="10">
        <v>3</v>
      </c>
      <c r="B4" s="19" t="s">
        <v>78</v>
      </c>
      <c r="C4" s="3" t="s">
        <v>23</v>
      </c>
      <c r="D4" s="10">
        <v>0</v>
      </c>
      <c r="E4" s="10"/>
    </row>
    <row r="5" spans="1:5" x14ac:dyDescent="0.25">
      <c r="A5" s="18">
        <v>2</v>
      </c>
      <c r="B5" s="20" t="s">
        <v>78</v>
      </c>
      <c r="C5" s="17" t="s">
        <v>23</v>
      </c>
      <c r="D5" s="18">
        <v>0</v>
      </c>
      <c r="E5" s="18"/>
    </row>
    <row r="6" spans="1:5" x14ac:dyDescent="0.25">
      <c r="A6" s="10">
        <v>1</v>
      </c>
      <c r="B6" s="19" t="s">
        <v>77</v>
      </c>
      <c r="C6" s="3" t="s">
        <v>23</v>
      </c>
      <c r="D6" s="10">
        <v>0</v>
      </c>
      <c r="E6" s="10">
        <v>1</v>
      </c>
    </row>
    <row r="7" spans="1:5" x14ac:dyDescent="0.25">
      <c r="A7" s="18">
        <v>0</v>
      </c>
      <c r="B7" s="17" t="s">
        <v>80</v>
      </c>
      <c r="C7" s="17" t="s">
        <v>23</v>
      </c>
      <c r="D7" s="18">
        <v>0</v>
      </c>
      <c r="E7" s="18">
        <v>1</v>
      </c>
    </row>
    <row r="9" spans="1:5" x14ac:dyDescent="0.25">
      <c r="B9" s="8" t="s">
        <v>7</v>
      </c>
    </row>
    <row r="10" spans="1:5" x14ac:dyDescent="0.25">
      <c r="B10" s="26" t="s">
        <v>81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9A2B8-12E1-48C1-BCDD-0455D6E83545}">
  <dimension ref="A2:E13"/>
  <sheetViews>
    <sheetView workbookViewId="0"/>
  </sheetViews>
  <sheetFormatPr defaultRowHeight="15" x14ac:dyDescent="0.25"/>
  <cols>
    <col min="1" max="1" width="11.140625" style="1" customWidth="1"/>
    <col min="2" max="2" width="93.5703125" customWidth="1"/>
    <col min="3" max="3" width="13.28515625" customWidth="1"/>
    <col min="4" max="4" width="14.85546875" customWidth="1"/>
    <col min="5" max="5" width="11.42578125" customWidth="1"/>
  </cols>
  <sheetData>
    <row r="2" spans="1:5" x14ac:dyDescent="0.25">
      <c r="A2" s="14" t="s">
        <v>0</v>
      </c>
      <c r="B2" s="14" t="s">
        <v>1</v>
      </c>
      <c r="C2" s="14" t="s">
        <v>20</v>
      </c>
      <c r="D2" s="12" t="s">
        <v>21</v>
      </c>
      <c r="E2" s="12" t="s">
        <v>22</v>
      </c>
    </row>
    <row r="3" spans="1:5" ht="60" x14ac:dyDescent="0.25">
      <c r="A3" s="18" t="s">
        <v>4</v>
      </c>
      <c r="B3" s="20" t="s">
        <v>126</v>
      </c>
      <c r="C3" s="17" t="s">
        <v>23</v>
      </c>
      <c r="D3" s="43" t="s">
        <v>150</v>
      </c>
      <c r="E3" s="18" t="s">
        <v>55</v>
      </c>
    </row>
    <row r="4" spans="1:5" x14ac:dyDescent="0.25">
      <c r="A4" s="40"/>
      <c r="B4" s="41"/>
      <c r="C4" s="42"/>
      <c r="D4" s="40"/>
      <c r="E4" s="40"/>
    </row>
    <row r="6" spans="1:5" x14ac:dyDescent="0.25">
      <c r="B6" s="8" t="s">
        <v>7</v>
      </c>
    </row>
    <row r="7" spans="1:5" ht="30" x14ac:dyDescent="0.25">
      <c r="B7" s="7" t="s">
        <v>146</v>
      </c>
    </row>
    <row r="8" spans="1:5" x14ac:dyDescent="0.25">
      <c r="B8" s="7" t="s">
        <v>131</v>
      </c>
    </row>
    <row r="10" spans="1:5" x14ac:dyDescent="0.25">
      <c r="B10" s="36" t="s">
        <v>130</v>
      </c>
      <c r="C10">
        <v>100</v>
      </c>
      <c r="D10" t="s">
        <v>83</v>
      </c>
    </row>
    <row r="11" spans="1:5" x14ac:dyDescent="0.25">
      <c r="C11" s="38" t="s">
        <v>127</v>
      </c>
      <c r="D11" s="38"/>
    </row>
    <row r="12" spans="1:5" x14ac:dyDescent="0.25">
      <c r="C12" s="3" t="s">
        <v>129</v>
      </c>
      <c r="D12" s="34">
        <v>1</v>
      </c>
      <c r="E12" t="s">
        <v>128</v>
      </c>
    </row>
    <row r="13" spans="1:5" x14ac:dyDescent="0.25">
      <c r="C13" s="3" t="s">
        <v>84</v>
      </c>
      <c r="D13" s="35">
        <f>D12*C10</f>
        <v>100</v>
      </c>
    </row>
  </sheetData>
  <mergeCells count="1">
    <mergeCell ref="C11:D1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E5F3B-706D-46C3-9FE4-D697B9AB28AF}">
  <dimension ref="A2:E12"/>
  <sheetViews>
    <sheetView workbookViewId="0"/>
  </sheetViews>
  <sheetFormatPr defaultRowHeight="15" x14ac:dyDescent="0.25"/>
  <cols>
    <col min="1" max="1" width="11.140625" style="1" customWidth="1"/>
    <col min="2" max="2" width="93.5703125" customWidth="1"/>
    <col min="3" max="3" width="13.28515625"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4</v>
      </c>
      <c r="B3" s="20" t="s">
        <v>136</v>
      </c>
      <c r="C3" s="17" t="s">
        <v>23</v>
      </c>
      <c r="D3" s="18">
        <v>0</v>
      </c>
      <c r="E3" s="18" t="s">
        <v>55</v>
      </c>
    </row>
    <row r="5" spans="1:5" x14ac:dyDescent="0.25">
      <c r="B5" s="8" t="s">
        <v>7</v>
      </c>
    </row>
    <row r="6" spans="1:5" ht="30" x14ac:dyDescent="0.25">
      <c r="B6" s="7" t="s">
        <v>145</v>
      </c>
    </row>
    <row r="7" spans="1:5" ht="25.5" customHeight="1" x14ac:dyDescent="0.25">
      <c r="B7" s="7"/>
    </row>
    <row r="9" spans="1:5" x14ac:dyDescent="0.25">
      <c r="B9" s="36" t="s">
        <v>130</v>
      </c>
      <c r="C9">
        <v>100</v>
      </c>
      <c r="D9" t="s">
        <v>83</v>
      </c>
    </row>
    <row r="10" spans="1:5" x14ac:dyDescent="0.25">
      <c r="C10" s="38" t="s">
        <v>127</v>
      </c>
      <c r="D10" s="38"/>
    </row>
    <row r="11" spans="1:5" x14ac:dyDescent="0.25">
      <c r="C11" s="3" t="s">
        <v>137</v>
      </c>
      <c r="D11" s="34">
        <v>50</v>
      </c>
      <c r="E11" t="s">
        <v>138</v>
      </c>
    </row>
    <row r="12" spans="1:5" x14ac:dyDescent="0.25">
      <c r="C12" s="3" t="s">
        <v>84</v>
      </c>
      <c r="D12" s="35">
        <f>(D11*1000)*C9</f>
        <v>5000000</v>
      </c>
    </row>
  </sheetData>
  <mergeCells count="1">
    <mergeCell ref="C10:D10"/>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4298-59BA-4526-817E-4E7BB9AF4F4B}">
  <dimension ref="A2:E11"/>
  <sheetViews>
    <sheetView workbookViewId="0"/>
  </sheetViews>
  <sheetFormatPr defaultRowHeight="15" x14ac:dyDescent="0.25"/>
  <cols>
    <col min="1" max="1" width="11.140625" style="1" customWidth="1"/>
    <col min="2" max="2" width="93.5703125" customWidth="1"/>
    <col min="3" max="3" width="13.28515625"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4</v>
      </c>
      <c r="B3" s="20" t="s">
        <v>139</v>
      </c>
      <c r="C3" s="17" t="s">
        <v>23</v>
      </c>
      <c r="D3" s="18">
        <v>1</v>
      </c>
      <c r="E3" s="18" t="s">
        <v>55</v>
      </c>
    </row>
    <row r="5" spans="1:5" x14ac:dyDescent="0.25">
      <c r="B5" s="8" t="s">
        <v>7</v>
      </c>
    </row>
    <row r="6" spans="1:5" ht="45" x14ac:dyDescent="0.25">
      <c r="B6" s="7" t="s">
        <v>143</v>
      </c>
    </row>
    <row r="7" spans="1:5" ht="30" x14ac:dyDescent="0.25">
      <c r="B7" s="7" t="s">
        <v>144</v>
      </c>
    </row>
    <row r="8" spans="1:5" x14ac:dyDescent="0.25">
      <c r="B8" s="45"/>
      <c r="C8" s="42"/>
      <c r="D8" s="42"/>
    </row>
    <row r="9" spans="1:5" x14ac:dyDescent="0.25">
      <c r="B9" s="42"/>
      <c r="C9" s="46"/>
      <c r="D9" s="46"/>
    </row>
    <row r="10" spans="1:5" x14ac:dyDescent="0.25">
      <c r="B10" s="42"/>
      <c r="C10" s="42"/>
      <c r="D10" s="42"/>
    </row>
    <row r="11" spans="1:5" x14ac:dyDescent="0.25">
      <c r="B11" s="42"/>
      <c r="C11" s="42"/>
      <c r="D11" s="42"/>
    </row>
  </sheetData>
  <mergeCells count="1">
    <mergeCell ref="C9:D9"/>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09F76-6AA1-4183-8FD1-D2060AC3FC62}">
  <dimension ref="A2:E12"/>
  <sheetViews>
    <sheetView workbookViewId="0"/>
  </sheetViews>
  <sheetFormatPr defaultRowHeight="15" x14ac:dyDescent="0.25"/>
  <cols>
    <col min="1" max="1" width="11.140625" style="1" customWidth="1"/>
    <col min="2" max="2" width="93.5703125" customWidth="1"/>
    <col min="3" max="3" width="13.28515625"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4</v>
      </c>
      <c r="B3" s="20" t="s">
        <v>153</v>
      </c>
      <c r="C3" s="17" t="s">
        <v>23</v>
      </c>
      <c r="D3" s="18">
        <v>0</v>
      </c>
      <c r="E3" s="18" t="s">
        <v>55</v>
      </c>
    </row>
    <row r="5" spans="1:5" x14ac:dyDescent="0.25">
      <c r="B5" s="8" t="s">
        <v>7</v>
      </c>
    </row>
    <row r="6" spans="1:5" ht="30" x14ac:dyDescent="0.25">
      <c r="B6" s="7" t="s">
        <v>154</v>
      </c>
    </row>
    <row r="7" spans="1:5" ht="25.5" customHeight="1" x14ac:dyDescent="0.25">
      <c r="B7" s="7"/>
    </row>
    <row r="9" spans="1:5" x14ac:dyDescent="0.25">
      <c r="B9" s="36" t="s">
        <v>130</v>
      </c>
      <c r="C9">
        <v>100</v>
      </c>
      <c r="D9" t="s">
        <v>83</v>
      </c>
    </row>
    <row r="10" spans="1:5" x14ac:dyDescent="0.25">
      <c r="C10" s="38" t="s">
        <v>127</v>
      </c>
      <c r="D10" s="38"/>
    </row>
    <row r="11" spans="1:5" x14ac:dyDescent="0.25">
      <c r="C11" s="3" t="s">
        <v>137</v>
      </c>
      <c r="D11" s="34">
        <v>20</v>
      </c>
      <c r="E11" t="s">
        <v>128</v>
      </c>
    </row>
    <row r="12" spans="1:5" x14ac:dyDescent="0.25">
      <c r="C12" s="3" t="s">
        <v>84</v>
      </c>
      <c r="D12" s="35">
        <f>D11*C9</f>
        <v>2000</v>
      </c>
    </row>
  </sheetData>
  <mergeCells count="1">
    <mergeCell ref="C10:D10"/>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3A69-83AB-4E5A-A62A-C8C4223B902A}">
  <dimension ref="A2:E17"/>
  <sheetViews>
    <sheetView workbookViewId="0"/>
  </sheetViews>
  <sheetFormatPr defaultRowHeight="15" x14ac:dyDescent="0.25"/>
  <cols>
    <col min="1" max="1" width="11.140625" style="1" customWidth="1"/>
    <col min="2" max="2" width="92.5703125" customWidth="1"/>
    <col min="3" max="3" width="14.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57.75" x14ac:dyDescent="0.25">
      <c r="B7" s="26" t="s">
        <v>93</v>
      </c>
    </row>
    <row r="8" spans="1:5" ht="39.75" customHeight="1" x14ac:dyDescent="0.25"/>
    <row r="9" spans="1:5" x14ac:dyDescent="0.25">
      <c r="B9" s="7" t="s">
        <v>27</v>
      </c>
    </row>
    <row r="10" spans="1:5" ht="36" customHeight="1" x14ac:dyDescent="0.25"/>
    <row r="11" spans="1:5" x14ac:dyDescent="0.25">
      <c r="B11" s="32" t="s">
        <v>98</v>
      </c>
      <c r="C11" s="1">
        <v>16</v>
      </c>
    </row>
    <row r="12" spans="1:5" ht="16.5" customHeight="1" x14ac:dyDescent="0.25">
      <c r="C12" s="39" t="s">
        <v>94</v>
      </c>
      <c r="D12" s="39"/>
      <c r="E12" s="27"/>
    </row>
    <row r="13" spans="1:5" x14ac:dyDescent="0.25">
      <c r="C13" s="28" t="s">
        <v>95</v>
      </c>
      <c r="D13" s="29">
        <v>40000</v>
      </c>
      <c r="E13" s="27" t="s">
        <v>99</v>
      </c>
    </row>
    <row r="14" spans="1:5" x14ac:dyDescent="0.25">
      <c r="C14" s="28" t="s">
        <v>96</v>
      </c>
      <c r="D14" s="30">
        <f>((D13*509.3140064)/(2^C11))-280.2308787</f>
        <v>30.62972090937501</v>
      </c>
      <c r="E14" s="27" t="s">
        <v>97</v>
      </c>
    </row>
    <row r="16" spans="1:5" x14ac:dyDescent="0.25">
      <c r="C16" s="28" t="s">
        <v>100</v>
      </c>
      <c r="D16" s="29" t="s">
        <v>102</v>
      </c>
      <c r="E16" s="27" t="s">
        <v>101</v>
      </c>
    </row>
    <row r="17" spans="3:5" x14ac:dyDescent="0.25">
      <c r="C17" s="28" t="s">
        <v>96</v>
      </c>
      <c r="D17" s="30">
        <f>((HEX2DEC(D16)*509.3140064)/(2^C11))-280.2308787</f>
        <v>30.62972090937501</v>
      </c>
      <c r="E17" s="27"/>
    </row>
  </sheetData>
  <mergeCells count="1">
    <mergeCell ref="C12:D12"/>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319B-2B9D-4D5E-8D62-E4C237FCBE25}">
  <dimension ref="A2:E23"/>
  <sheetViews>
    <sheetView workbookViewId="0"/>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78.75" customHeight="1" x14ac:dyDescent="0.25">
      <c r="B7" s="26" t="s">
        <v>41</v>
      </c>
    </row>
    <row r="8" spans="1:5" ht="39.75" customHeight="1" x14ac:dyDescent="0.25"/>
    <row r="9" spans="1:5" x14ac:dyDescent="0.25">
      <c r="B9" s="7" t="s">
        <v>42</v>
      </c>
    </row>
    <row r="10" spans="1:5" ht="36" customHeight="1" x14ac:dyDescent="0.25"/>
    <row r="11" spans="1:5" ht="16.5" customHeight="1" x14ac:dyDescent="0.25"/>
    <row r="12" spans="1:5" x14ac:dyDescent="0.25">
      <c r="B12" s="32" t="s">
        <v>98</v>
      </c>
      <c r="C12" s="1">
        <v>16</v>
      </c>
      <c r="D12" s="27"/>
      <c r="E12" s="27"/>
    </row>
    <row r="13" spans="1:5" x14ac:dyDescent="0.25">
      <c r="B13" s="27"/>
      <c r="C13" s="39" t="s">
        <v>103</v>
      </c>
      <c r="D13" s="39"/>
      <c r="E13" s="27"/>
    </row>
    <row r="14" spans="1:5" x14ac:dyDescent="0.25">
      <c r="B14" s="27"/>
      <c r="C14" s="28" t="s">
        <v>95</v>
      </c>
      <c r="D14" s="29">
        <v>40000</v>
      </c>
      <c r="E14" s="27" t="s">
        <v>99</v>
      </c>
    </row>
    <row r="15" spans="1:5" x14ac:dyDescent="0.25">
      <c r="B15" s="27"/>
      <c r="C15" s="28" t="s">
        <v>104</v>
      </c>
      <c r="D15" s="30">
        <f>(D14/(2^C12))*3</f>
        <v>1.8310546875</v>
      </c>
      <c r="E15" s="27" t="s">
        <v>105</v>
      </c>
    </row>
    <row r="16" spans="1:5" x14ac:dyDescent="0.25">
      <c r="B16" s="27"/>
    </row>
    <row r="17" spans="2:5" x14ac:dyDescent="0.25">
      <c r="B17" s="27"/>
      <c r="C17" s="28" t="s">
        <v>100</v>
      </c>
      <c r="D17" s="29" t="s">
        <v>102</v>
      </c>
      <c r="E17" s="27" t="s">
        <v>101</v>
      </c>
    </row>
    <row r="18" spans="2:5" x14ac:dyDescent="0.25">
      <c r="B18" s="27"/>
      <c r="C18" s="28" t="s">
        <v>104</v>
      </c>
      <c r="D18" s="30">
        <f>(HEX2DEC(D17)/(2^C12))*3</f>
        <v>1.8310546875</v>
      </c>
      <c r="E18" s="27" t="s">
        <v>105</v>
      </c>
    </row>
    <row r="19" spans="2:5" x14ac:dyDescent="0.25">
      <c r="B19" s="27"/>
      <c r="C19" s="27"/>
      <c r="D19" s="27"/>
      <c r="E19" s="27"/>
    </row>
    <row r="20" spans="2:5" x14ac:dyDescent="0.25">
      <c r="B20" s="27"/>
      <c r="C20" s="27"/>
      <c r="D20" s="27"/>
      <c r="E20" s="27"/>
    </row>
    <row r="21" spans="2:5" x14ac:dyDescent="0.25">
      <c r="B21" s="27"/>
      <c r="C21" s="27"/>
      <c r="D21" s="27"/>
      <c r="E21" s="27"/>
    </row>
    <row r="22" spans="2:5" x14ac:dyDescent="0.25">
      <c r="B22" s="27"/>
      <c r="C22" s="27"/>
      <c r="D22" s="27"/>
      <c r="E22" s="27"/>
    </row>
    <row r="23" spans="2:5" x14ac:dyDescent="0.25">
      <c r="B23" s="27"/>
      <c r="C23" s="27"/>
      <c r="D23" s="27"/>
      <c r="E23" s="27"/>
    </row>
  </sheetData>
  <mergeCells count="1">
    <mergeCell ref="C13:D13"/>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6"/>
  <sheetViews>
    <sheetView workbookViewId="0"/>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14" t="s">
        <v>0</v>
      </c>
      <c r="B2" s="14" t="s">
        <v>1</v>
      </c>
      <c r="C2" s="14" t="s">
        <v>20</v>
      </c>
      <c r="D2" s="12" t="s">
        <v>21</v>
      </c>
      <c r="E2" s="12" t="s">
        <v>22</v>
      </c>
    </row>
    <row r="3" spans="1:5" x14ac:dyDescent="0.25">
      <c r="A3" s="15" t="s">
        <v>4</v>
      </c>
      <c r="B3" s="16" t="s">
        <v>8</v>
      </c>
      <c r="C3" s="17" t="s">
        <v>15</v>
      </c>
      <c r="D3" s="17"/>
      <c r="E3" s="17"/>
    </row>
    <row r="6" spans="1:5" x14ac:dyDescent="0.25">
      <c r="B6" s="5" t="s">
        <v>24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801CD-B17B-4694-B20D-6C2083E501C6}">
  <dimension ref="A2:E17"/>
  <sheetViews>
    <sheetView workbookViewId="0"/>
  </sheetViews>
  <sheetFormatPr defaultRowHeight="15" x14ac:dyDescent="0.25"/>
  <cols>
    <col min="1" max="1" width="11.140625" style="1" customWidth="1"/>
    <col min="2" max="2" width="120"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t="s">
        <v>61</v>
      </c>
      <c r="B3" s="16" t="s">
        <v>2</v>
      </c>
      <c r="C3" s="17"/>
      <c r="D3" s="18"/>
      <c r="E3" s="18"/>
    </row>
    <row r="4" spans="1:5" ht="15" customHeight="1" x14ac:dyDescent="0.25">
      <c r="A4" s="24">
        <v>23</v>
      </c>
      <c r="B4" s="6" t="s">
        <v>60</v>
      </c>
      <c r="C4" s="3" t="s">
        <v>23</v>
      </c>
      <c r="D4" s="10">
        <v>0</v>
      </c>
      <c r="E4" s="10"/>
    </row>
    <row r="5" spans="1:5" ht="15" customHeight="1" x14ac:dyDescent="0.25">
      <c r="A5" s="15">
        <v>22</v>
      </c>
      <c r="B5" s="16" t="s">
        <v>113</v>
      </c>
      <c r="C5" s="17" t="s">
        <v>23</v>
      </c>
      <c r="D5" s="18">
        <v>0</v>
      </c>
      <c r="E5" s="18">
        <v>1</v>
      </c>
    </row>
    <row r="6" spans="1:5" ht="96.75" customHeight="1" x14ac:dyDescent="0.25">
      <c r="A6" s="24" t="s">
        <v>59</v>
      </c>
      <c r="B6" s="6" t="s">
        <v>114</v>
      </c>
      <c r="C6" s="3" t="s">
        <v>23</v>
      </c>
      <c r="D6" s="10">
        <v>0</v>
      </c>
      <c r="E6" s="10"/>
    </row>
    <row r="7" spans="1:5" ht="15" customHeight="1" x14ac:dyDescent="0.25">
      <c r="A7" s="15" t="s">
        <v>57</v>
      </c>
      <c r="B7" s="16" t="s">
        <v>58</v>
      </c>
      <c r="C7" s="17" t="s">
        <v>23</v>
      </c>
      <c r="D7" s="18">
        <v>0</v>
      </c>
      <c r="E7" s="18"/>
    </row>
    <row r="8" spans="1:5" ht="15" customHeight="1" x14ac:dyDescent="0.25">
      <c r="A8" s="24" t="s">
        <v>62</v>
      </c>
      <c r="B8" s="6" t="s">
        <v>65</v>
      </c>
      <c r="C8" s="3" t="s">
        <v>23</v>
      </c>
      <c r="D8" s="10">
        <v>0</v>
      </c>
      <c r="E8" s="10"/>
    </row>
    <row r="9" spans="1:5" ht="15" customHeight="1" x14ac:dyDescent="0.25">
      <c r="A9" s="15" t="s">
        <v>64</v>
      </c>
      <c r="B9" s="16" t="s">
        <v>66</v>
      </c>
      <c r="C9" s="17" t="s">
        <v>23</v>
      </c>
      <c r="D9" s="18">
        <v>0</v>
      </c>
      <c r="E9" s="18"/>
    </row>
    <row r="10" spans="1:5" ht="15" customHeight="1" x14ac:dyDescent="0.25">
      <c r="A10" s="24">
        <v>1</v>
      </c>
      <c r="B10" s="6" t="s">
        <v>82</v>
      </c>
      <c r="C10" s="3" t="s">
        <v>23</v>
      </c>
      <c r="D10" s="10">
        <v>0</v>
      </c>
      <c r="E10" s="10">
        <v>1</v>
      </c>
    </row>
    <row r="11" spans="1:5" ht="15" customHeight="1" x14ac:dyDescent="0.25">
      <c r="A11" s="15">
        <v>0</v>
      </c>
      <c r="B11" s="16" t="s">
        <v>56</v>
      </c>
      <c r="C11" s="17" t="s">
        <v>23</v>
      </c>
      <c r="D11" s="18">
        <v>0</v>
      </c>
      <c r="E11" s="18"/>
    </row>
    <row r="12" spans="1:5" ht="15" customHeight="1" x14ac:dyDescent="0.25">
      <c r="A12" s="25"/>
      <c r="B12" s="4"/>
      <c r="D12" s="22"/>
      <c r="E12" s="22"/>
    </row>
    <row r="14" spans="1:5" x14ac:dyDescent="0.25">
      <c r="B14" s="11" t="s">
        <v>7</v>
      </c>
    </row>
    <row r="15" spans="1:5" ht="25.5" x14ac:dyDescent="0.25">
      <c r="B15" s="4" t="s">
        <v>106</v>
      </c>
    </row>
    <row r="16" spans="1:5" x14ac:dyDescent="0.25">
      <c r="B16" s="7"/>
    </row>
    <row r="17" spans="2:2" x14ac:dyDescent="0.25">
      <c r="B17" s="7"/>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B2C44-AAE6-40E6-AFA7-6D01DA277A8B}">
  <dimension ref="A2:E29"/>
  <sheetViews>
    <sheetView workbookViewId="0"/>
  </sheetViews>
  <sheetFormatPr defaultRowHeight="15" x14ac:dyDescent="0.25"/>
  <cols>
    <col min="1" max="1" width="11.140625" style="1" customWidth="1"/>
    <col min="2" max="2" width="93.5703125" customWidth="1"/>
    <col min="3" max="3" width="16"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44</v>
      </c>
      <c r="B3" s="20" t="s">
        <v>2</v>
      </c>
      <c r="C3" s="17" t="s">
        <v>19</v>
      </c>
      <c r="D3" s="18"/>
      <c r="E3" s="18"/>
    </row>
    <row r="4" spans="1:5" x14ac:dyDescent="0.25">
      <c r="A4" s="10" t="s">
        <v>54</v>
      </c>
      <c r="B4" s="3" t="s">
        <v>88</v>
      </c>
      <c r="C4" s="3" t="s">
        <v>23</v>
      </c>
      <c r="D4" s="10">
        <v>0</v>
      </c>
      <c r="E4" s="10" t="s">
        <v>55</v>
      </c>
    </row>
    <row r="6" spans="1:5" x14ac:dyDescent="0.25">
      <c r="B6" s="8" t="s">
        <v>7</v>
      </c>
    </row>
    <row r="7" spans="1:5" ht="29.25" x14ac:dyDescent="0.25">
      <c r="B7" s="26" t="s">
        <v>89</v>
      </c>
    </row>
    <row r="8" spans="1:5" ht="29.25" x14ac:dyDescent="0.25">
      <c r="B8" s="26" t="s">
        <v>90</v>
      </c>
    </row>
    <row r="9" spans="1:5" ht="49.5" customHeight="1" x14ac:dyDescent="0.25"/>
    <row r="10" spans="1:5" x14ac:dyDescent="0.25">
      <c r="B10" s="32" t="s">
        <v>91</v>
      </c>
      <c r="C10" s="27">
        <v>100</v>
      </c>
      <c r="D10" s="27" t="s">
        <v>83</v>
      </c>
      <c r="E10" s="27"/>
    </row>
    <row r="11" spans="1:5" x14ac:dyDescent="0.25">
      <c r="B11" s="27"/>
      <c r="C11" s="27"/>
      <c r="D11" s="27"/>
      <c r="E11" s="27"/>
    </row>
    <row r="12" spans="1:5" x14ac:dyDescent="0.25">
      <c r="B12" s="27"/>
      <c r="C12" s="39" t="s">
        <v>92</v>
      </c>
      <c r="D12" s="39"/>
      <c r="E12" s="27"/>
    </row>
    <row r="13" spans="1:5" x14ac:dyDescent="0.25">
      <c r="B13" s="27"/>
      <c r="C13" s="28" t="s">
        <v>85</v>
      </c>
      <c r="D13" s="29">
        <v>50</v>
      </c>
      <c r="E13" s="27" t="s">
        <v>87</v>
      </c>
    </row>
    <row r="14" spans="1:5" x14ac:dyDescent="0.25">
      <c r="B14" s="27"/>
      <c r="C14" s="28" t="s">
        <v>84</v>
      </c>
      <c r="D14" s="30">
        <f>ROUND((D13*C10)/1000,0)</f>
        <v>5</v>
      </c>
      <c r="E14" s="27"/>
    </row>
    <row r="15" spans="1:5" x14ac:dyDescent="0.25">
      <c r="B15" s="27"/>
      <c r="C15" s="28" t="s">
        <v>86</v>
      </c>
      <c r="D15" s="31">
        <f>(D14/C10)*1000</f>
        <v>50</v>
      </c>
      <c r="E15" s="27" t="s">
        <v>87</v>
      </c>
    </row>
    <row r="16" spans="1:5" x14ac:dyDescent="0.25">
      <c r="B16" s="27"/>
      <c r="C16" s="27"/>
      <c r="D16" s="27"/>
      <c r="E16" s="27"/>
    </row>
    <row r="17" spans="2:5" x14ac:dyDescent="0.25">
      <c r="B17" s="27"/>
      <c r="C17" s="27"/>
      <c r="D17" s="27"/>
      <c r="E17" s="27"/>
    </row>
    <row r="18" spans="2:5" x14ac:dyDescent="0.25">
      <c r="B18" s="27"/>
      <c r="C18" s="27"/>
      <c r="D18" s="27"/>
      <c r="E18" s="27"/>
    </row>
    <row r="19" spans="2:5" x14ac:dyDescent="0.25">
      <c r="B19" s="27"/>
      <c r="C19" s="27"/>
      <c r="D19" s="27"/>
      <c r="E19" s="27"/>
    </row>
    <row r="20" spans="2:5" x14ac:dyDescent="0.25">
      <c r="B20" s="27"/>
      <c r="C20" s="27"/>
      <c r="D20" s="27"/>
      <c r="E20" s="27"/>
    </row>
    <row r="21" spans="2:5" x14ac:dyDescent="0.25">
      <c r="B21" s="27"/>
      <c r="C21" s="27"/>
      <c r="D21" s="27"/>
      <c r="E21" s="27"/>
    </row>
    <row r="22" spans="2:5" x14ac:dyDescent="0.25">
      <c r="B22" s="27"/>
      <c r="C22" s="27"/>
      <c r="D22" s="27"/>
      <c r="E22" s="27"/>
    </row>
    <row r="23" spans="2:5" x14ac:dyDescent="0.25">
      <c r="B23" s="27"/>
      <c r="C23" s="27"/>
      <c r="D23" s="27"/>
      <c r="E23" s="27"/>
    </row>
    <row r="24" spans="2:5" x14ac:dyDescent="0.25">
      <c r="B24" s="27"/>
      <c r="C24" s="27"/>
      <c r="D24" s="27"/>
      <c r="E24" s="27"/>
    </row>
    <row r="25" spans="2:5" x14ac:dyDescent="0.25">
      <c r="B25" s="27"/>
      <c r="C25" s="27"/>
      <c r="D25" s="27"/>
      <c r="E25" s="27"/>
    </row>
    <row r="26" spans="2:5" x14ac:dyDescent="0.25">
      <c r="B26" s="27"/>
      <c r="C26" s="27"/>
      <c r="D26" s="27"/>
      <c r="E26" s="27"/>
    </row>
    <row r="27" spans="2:5" x14ac:dyDescent="0.25">
      <c r="B27" s="27"/>
      <c r="C27" s="27"/>
      <c r="D27" s="27"/>
      <c r="E27" s="27"/>
    </row>
    <row r="28" spans="2:5" x14ac:dyDescent="0.25">
      <c r="B28" s="27"/>
      <c r="C28" s="27"/>
      <c r="D28" s="27"/>
      <c r="E28" s="27"/>
    </row>
    <row r="29" spans="2:5" x14ac:dyDescent="0.25">
      <c r="B29" s="27"/>
      <c r="C29" s="27"/>
      <c r="D29" s="27"/>
      <c r="E29" s="27"/>
    </row>
  </sheetData>
  <mergeCells count="1">
    <mergeCell ref="C12:D1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Memory Map</vt:lpstr>
      <vt:lpstr>FW Revision</vt:lpstr>
      <vt:lpstr>Overall Status</vt:lpstr>
      <vt:lpstr>Main Control</vt:lpstr>
      <vt:lpstr>Ksine</vt:lpstr>
      <vt:lpstr>Scan_Limit_Result</vt:lpstr>
      <vt:lpstr>System_Status</vt:lpstr>
      <vt:lpstr>ARM Status</vt:lpstr>
      <vt:lpstr>Pulse Duration</vt:lpstr>
      <vt:lpstr>PBP Period</vt:lpstr>
      <vt:lpstr>PBP Runs</vt:lpstr>
      <vt:lpstr>Pre RLTD Time</vt:lpstr>
      <vt:lpstr>Die Temperature</vt:lpstr>
      <vt:lpstr>Voltage</vt:lpstr>
      <vt:lpstr>Diagnostic R-W</vt:lpstr>
      <vt:lpstr>DCU Status</vt:lpstr>
      <vt:lpstr>SPI Read Clk Delay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Hai Tuyen (U.S. Person)</dc:creator>
  <cp:lastModifiedBy>Shawn McMullen</cp:lastModifiedBy>
  <dcterms:created xsi:type="dcterms:W3CDTF">2017-11-16T22:09:34Z</dcterms:created>
  <dcterms:modified xsi:type="dcterms:W3CDTF">2026-02-17T20:45:00Z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a132d8ab-2485-4715-802d-31da94d84165</vt:lpwstr>
  </property>
  <property fmtid="{D5CDD505-2E9C-101B-9397-08002B2CF9AE}" pid="3" name="CLASSIFICATION">
    <vt:lpwstr>General</vt:lpwstr>
  </property>
</Properties>
</file>