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25C41348-F8EF-4D55-B0DF-1880FC2C4869}"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ARM Status" sheetId="48" r:id="rId10"/>
    <sheet name="DCU Enable" sheetId="49" r:id="rId11"/>
    <sheet name="Start Delay SPI Reaback" sheetId="45"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5" l="1"/>
  <c r="D18" i="41" l="1"/>
  <c r="D15" i="41"/>
  <c r="D17" i="27"/>
  <c r="D14" i="27"/>
  <c r="D15" i="46"/>
  <c r="D14" i="46"/>
  <c r="C12" i="45"/>
  <c r="C3" i="2"/>
  <c r="B4" i="2"/>
  <c r="B5" i="2" s="1"/>
  <c r="D16" i="45" l="1"/>
  <c r="D19" i="45" s="1"/>
  <c r="D21" i="45" s="1"/>
  <c r="D22" i="45" s="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<sst xmlns="http://schemas.openxmlformats.org/spreadsheetml/2006/main" count="779" uniqueCount="208">
  <si>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</si>
  <si>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</si>
  <si>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</si>
  <si>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</si>
  <si>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</si>
  <si>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</si>
  <si>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</si>
  <si>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</si>
  <si>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</si>
  <si>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</si>
  <si>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</si>
  <si>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</si>
  <si>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</si>
  <si>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</si>
  <si>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</si>
  <si>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</si>
  <si>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</si>
  <si>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</si>
  <si>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</si>
  <si>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</si>
  <si>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</si>
  <si>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</si>
  <si>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</si>
  <si>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</si>
  <si>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</si>
  <si>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</si>
  <si>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</si>
  <si>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</si>
  <si>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</si>
  <si>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</si>
  <si>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</si>
  <si>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</si>
  <si>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</si>
  <si>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</si>
  <si>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</si>
  <si>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</si>
  <si>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</si>
  <si>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</si>
  <si>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</si>
  <si>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</si>
  <si>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</si>
  <si>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</si>
  <si>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</si>
  <si>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</si>
  <si>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</si>
  <si>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</si>
  <si>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</si>
  <si>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</si>
  <si>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</si>
  <si>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</si>
  <si>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</si>
  <si>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</si>
  <si>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</si>
  <si>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</si>
  <si>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</si>
  <si>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</si>
  <si>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</si>
  <si>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</si>
  <si>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</si>
  <si>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</si>
  <si>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</si>
  <si>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</si>
  <si>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</si>
  <si>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</si>
  <si>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</si>
  <si>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0x00</t>
  </si>
  <si>
    <t>5..0</t>
  </si>
  <si>
    <t>31..6</t>
  </si>
  <si>
    <t>4..0</t>
  </si>
  <si>
    <t>1, 2</t>
  </si>
  <si>
    <t>Overall SWCR Status</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</si>
  <si>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</si>
  <si>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</si>
  <si>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</si>
  <si>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</si>
  <si>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</si>
  <si>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</si>
  <si>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</si>
  <si>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</si>
  <si>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</si>
  <si>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</si>
  <si>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</si>
  <si>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</si>
  <si>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</si>
  <si>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</si>
  <si>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</si>
  <si>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</si>
  <si>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</si>
  <si>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</si>
  <si>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</si>
  <si>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</si>
  <si>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</si>
  <si>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</si>
  <si>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</si>
  <si>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</si>
  <si>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</si>
  <si>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</si>
  <si>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</si>
  <si>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</si>
  <si>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</si>
  <si>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</si>
  <si>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</si>
  <si>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</si>
  <si>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</si>
  <si>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</si>
  <si>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</si>
  <si>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</si>
  <si>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</si>
  <si>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</si>
  <si>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DCU Type: 0=Alpha, 1=Beta</t>
  </si>
  <si>
    <t>Delay before SPI read starts after a SPI write begins.</t>
  </si>
  <si>
    <t>MHz</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</si>
  <si>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</si>
  <si>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</si>
  <si>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</si>
  <si>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</si>
  <si>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</si>
  <si>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</si>
  <si>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</si>
  <si>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</si>
  <si>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</si>
  <si>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</si>
  <si>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 xml:space="preserve"> Cable Delay (64% the speed of light for CAT-5) =</t>
  </si>
  <si>
    <t xml:space="preserve"> Speed of Light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</si>
  <si>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</si>
  <si>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</si>
  <si>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</si>
  <si>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</si>
  <si>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</si>
  <si>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</si>
  <si>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</si>
  <si>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</si>
  <si>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</si>
  <si>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</si>
  <si>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</si>
  <si>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</si>
  <si>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</si>
  <si>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</si>
  <si>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</si>
  <si>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</si>
  <si>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</si>
  <si>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</si>
  <si>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</si>
  <si>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</si>
  <si>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</si>
  <si>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</si>
  <si>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</si>
  <si>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</si>
  <si>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</si>
  <si>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</si>
  <si>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</si>
  <si>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</si>
  <si>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</si>
  <si>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</si>
  <si>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</si>
  <si>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</si>
  <si>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</si>
  <si>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</si>
  <si>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</si>
  <si>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</si>
  <si>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</si>
  <si>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</si>
  <si>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</si>
  <si>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</si>
  <si>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30..6</t>
  </si>
  <si>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</si>
  <si>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</si>
  <si>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</si>
  <si>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</si>
  <si>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</si>
  <si>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</si>
  <si>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</si>
  <si>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</si>
  <si>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</si>
  <si>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</si>
  <si>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</si>
  <si>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</si>
  <si>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</si>
  <si>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</si>
  <si>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</si>
  <si>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t>30 .. 20</t>
  </si>
  <si>
    <r>
      <t xml:space="preserve">Scan Limit Calculation Center Frequency Select:
</t>
    </r>
    <r>
      <rPr>
        <sz val="10"/>
        <color theme="1"/>
        <rFont val="Courier New"/>
        <family val="3"/>
      </rPr>
      <t>00 = 442MHz
01 = 444MHz
10 = 445MHz
11 = 446MHz</t>
    </r>
  </si>
  <si>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</si>
  <si>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</si>
  <si>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</si>
  <si>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DCU BIT: 1=BIT Passed 0=BIT Failed.  Need to review the individual DCU read backs to find failure.</t>
  </si>
  <si>
    <t>[1]: This is a rolled up status for all 76 connected DCUs.  It is updated every transaction.  Any "Enabled" DCU with a CRC error will make this bit 0.</t>
  </si>
  <si>
    <t>[2]: lThis is a rolled up status for all 76 DCUs.  The result is always one transaction behind but updated every transaction.  Any "Enabled" DCU with a compare error will this bit 0. Note any DCU in the SWCR mode will always report the compare bit as '1' (good)</t>
  </si>
  <si>
    <t>[3]: lThis is a rolled up status for all 76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</si>
  <si>
    <t>[4]: lThis is a rolled up status for all 76 DCUs. The Overal BIT status of each DCU is checked.  If any of their status failes this bit will be 0.</t>
  </si>
  <si>
    <t>Start Delay for SPI Read Back Fanout Baord 1</t>
  </si>
  <si>
    <t>Start Delay for SPI Read Back Fanout Baord 2</t>
  </si>
  <si>
    <t>Start Delay for SPI Read Back Fanout Baord 3</t>
  </si>
  <si>
    <t>Start Delay for SPI Read Back Fanout Baord 4</t>
  </si>
  <si>
    <t xml:space="preserve"> Where System Clock  Frequency =</t>
  </si>
  <si>
    <t>Cable Delay</t>
  </si>
  <si>
    <t>Fixed Delay</t>
  </si>
  <si>
    <t>Delay Required</t>
  </si>
  <si>
    <t>Register Value</t>
  </si>
  <si>
    <t>Delay Estimator</t>
  </si>
  <si>
    <t>[2] This delay is defined in number of system clocks. The calculator below can be used as a guide for an initial starting point for different cable lengths.  However the SPI clock delay may still need to be adjusted for proper read back.</t>
  </si>
  <si>
    <t>[1] This delay is used to account for the round trip delay for SPI Read Back data (MISO signal).  The delays include component delays, trace delays, digital filter delays, and CAT-5 cable length.  The cable delay is the dominate factor with other delays being within a +/-15ns margin for all boards and SPI channels. In Addition, all Alpha cables and all beta cables will be the same length (but Alpha and Beta lengths will be different).  This allows for a single start delay to be applied to all 152 SPI channels per DU.</t>
  </si>
  <si>
    <t>Test Mode (ATB Swtich): 0 = Online, 1=Offline.  Only applicaple when in "Force Test"</t>
  </si>
  <si>
    <t>Offline-Test-Enable (OLTE SC): 0 = Online, 1=Offline.  Only applicaple when in "Force Test"</t>
  </si>
  <si>
    <t>ATB Mode Switch: 0=Online 1=Test</t>
  </si>
  <si>
    <t>OLTE Mode: 0=Online 1=Test</t>
  </si>
  <si>
    <t>Last version to affect the register map: 3.2</t>
  </si>
  <si>
    <t>[1] This register is used to check if the ARM is running.  After the ARM has booted and written to this register, a 10 seoncd counter will start.  If this register is written to it will reset the counter.  If the counter reaches 10-seconds it is assumed the application is not running and the bottom right LED will be turnned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</si>
</sst>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0" borderId="1" xfId="0" quotePrefix="1" applyBorder="1"/>
    <xf numFmtId="0" fontId="0" fillId="3" borderId="1" xfId="0" quotePrefix="1" applyFill="1" applyBorder="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0" fillId="6" borderId="1" xfId="0" applyFill="1" applyBorder="1"/>
    <xf numFmtId="2" fontId="0" fillId="0" borderId="1" xfId="0" applyNumberFormat="1" applyBorder="1"/>
    <xf numFmtId="0" fontId="0" fillId="7" borderId="1" xfId="0" applyFill="1" applyBorder="1"/>
    <xf numFmtId="0" fontId="0" fillId="6" borderId="1" xfId="0" applyFill="1" applyBorder="1" applyAlignment="1">
      <alignment wrapText="1"/>
    </xf>
    <xf numFmtId="0" fontId="0" fillId="6" borderId="0" xfId="0" applyFill="1" applyAlignment="1">
      <alignment wrapText="1"/>
    </xf>
    <xf numFmtId="0" fontId="0" fillId="4" borderId="1" xfId="0" applyFill="1" applyBorder="1" applyAlignment="1">
      <alignment horizontal="left"/>
    </xf>
    <xf numFmtId="0" fontId="8" fillId="4" borderId="1" xfId="0" applyFont="1" applyFill="1" applyBorder="1" applyAlignment="1">
      <alignment horizontal="center"/>
    </xf>
    <xf numFmtId="0" fontId="0" fillId="4" borderId="1" xfId="0" applyFill="1" applyBorder="1" applyAlignment="1">
      <alignment horizontal="center"/>
    </xf>
    <xf numFmtId="0" fontId="8"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27</v>
      </c>
      <c r="E4" s="3" t="s">
        <v>14</v>
      </c>
    </row>
    <row r="5" spans="2:5" x14ac:dyDescent="0.25">
      <c r="B5" s="10">
        <f t="shared" ref="B5:B34" si="1">B4+1</f>
        <v>2</v>
      </c>
      <c r="C5" s="3" t="str">
        <f t="shared" si="0"/>
        <v>0x0008</v>
      </c>
      <c r="D5" s="3" t="s">
        <v>32</v>
      </c>
      <c r="E5" s="3" t="s">
        <v>15</v>
      </c>
    </row>
    <row r="6" spans="2:5" x14ac:dyDescent="0.25">
      <c r="B6" s="10">
        <f t="shared" si="1"/>
        <v>3</v>
      </c>
      <c r="C6" s="3" t="str">
        <f t="shared" si="0"/>
        <v>0x000C</v>
      </c>
      <c r="D6" s="3" t="s">
        <v>34</v>
      </c>
      <c r="E6" s="3" t="s">
        <v>15</v>
      </c>
    </row>
    <row r="7" spans="2:5" x14ac:dyDescent="0.25">
      <c r="B7" s="10">
        <f t="shared" si="1"/>
        <v>4</v>
      </c>
      <c r="C7" s="3" t="str">
        <f t="shared" si="0"/>
        <v>0x0010</v>
      </c>
      <c r="D7" s="3" t="s">
        <v>35</v>
      </c>
      <c r="E7" s="3" t="s">
        <v>15</v>
      </c>
    </row>
    <row r="8" spans="2:5" x14ac:dyDescent="0.25">
      <c r="B8" s="10">
        <f t="shared" si="1"/>
        <v>5</v>
      </c>
      <c r="C8" s="3" t="str">
        <f t="shared" si="0"/>
        <v>0x0014</v>
      </c>
      <c r="D8" s="3" t="s">
        <v>36</v>
      </c>
      <c r="E8" s="3" t="s">
        <v>14</v>
      </c>
    </row>
    <row r="9" spans="2:5" x14ac:dyDescent="0.25">
      <c r="B9" s="10">
        <f t="shared" si="1"/>
        <v>6</v>
      </c>
      <c r="C9" s="3" t="str">
        <f t="shared" si="0"/>
        <v>0x0018</v>
      </c>
      <c r="D9" s="3" t="s">
        <v>37</v>
      </c>
      <c r="E9" s="3" t="s">
        <v>14</v>
      </c>
    </row>
    <row r="10" spans="2:5" x14ac:dyDescent="0.25">
      <c r="B10" s="10">
        <f t="shared" si="1"/>
        <v>7</v>
      </c>
      <c r="C10" s="3" t="str">
        <f t="shared" si="0"/>
        <v>0x001C</v>
      </c>
      <c r="D10" s="3" t="s">
        <v>48</v>
      </c>
      <c r="E10" s="3" t="s">
        <v>14</v>
      </c>
    </row>
    <row r="11" spans="2:5" x14ac:dyDescent="0.25">
      <c r="B11" s="10">
        <f t="shared" si="1"/>
        <v>8</v>
      </c>
      <c r="C11" s="3" t="str">
        <f t="shared" si="0"/>
        <v>0x0020</v>
      </c>
      <c r="D11" s="3" t="s">
        <v>56</v>
      </c>
      <c r="E11" s="3" t="s">
        <v>14</v>
      </c>
    </row>
    <row r="12" spans="2:5" x14ac:dyDescent="0.25">
      <c r="B12" s="10">
        <f t="shared" si="1"/>
        <v>9</v>
      </c>
      <c r="C12" s="3" t="str">
        <f t="shared" si="0"/>
        <v>0x0024</v>
      </c>
      <c r="D12" s="3" t="s">
        <v>90</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46" t="s">
        <v>103</v>
      </c>
      <c r="E14" s="3" t="s">
        <v>15</v>
      </c>
    </row>
    <row r="15" spans="2:5" x14ac:dyDescent="0.25">
      <c r="B15" s="10">
        <f t="shared" si="1"/>
        <v>12</v>
      </c>
      <c r="C15" s="3" t="str">
        <f t="shared" si="0"/>
        <v>0x0030</v>
      </c>
      <c r="D15" s="3" t="s">
        <v>177</v>
      </c>
      <c r="E15" s="3" t="s">
        <v>15</v>
      </c>
    </row>
    <row r="16" spans="2:5" x14ac:dyDescent="0.25">
      <c r="B16" s="10">
        <f t="shared" si="1"/>
        <v>13</v>
      </c>
      <c r="C16" s="3" t="str">
        <f t="shared" si="0"/>
        <v>0x0034</v>
      </c>
      <c r="D16" s="3" t="s">
        <v>190</v>
      </c>
      <c r="E16" s="3" t="s">
        <v>15</v>
      </c>
    </row>
    <row r="17" spans="2:5" x14ac:dyDescent="0.25">
      <c r="B17" s="10">
        <f t="shared" si="1"/>
        <v>14</v>
      </c>
      <c r="C17" s="3" t="str">
        <f t="shared" si="0"/>
        <v>0x0038</v>
      </c>
      <c r="D17" s="3" t="s">
        <v>191</v>
      </c>
      <c r="E17" s="3" t="s">
        <v>15</v>
      </c>
    </row>
    <row r="18" spans="2:5" x14ac:dyDescent="0.25">
      <c r="B18" s="10">
        <f t="shared" si="1"/>
        <v>15</v>
      </c>
      <c r="C18" s="3" t="str">
        <f t="shared" si="0"/>
        <v>0x003C</v>
      </c>
      <c r="D18" s="3" t="s">
        <v>192</v>
      </c>
      <c r="E18" s="3" t="s">
        <v>15</v>
      </c>
    </row>
    <row r="19" spans="2:5" x14ac:dyDescent="0.25">
      <c r="B19" s="10">
        <f t="shared" si="1"/>
        <v>16</v>
      </c>
      <c r="C19" s="3" t="str">
        <f t="shared" si="0"/>
        <v>0x0040</v>
      </c>
      <c r="D19" s="3" t="s">
        <v>193</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28</v>
      </c>
      <c r="E30" s="3" t="s">
        <v>14</v>
      </c>
    </row>
    <row r="31" spans="2:5" x14ac:dyDescent="0.25">
      <c r="B31" s="10">
        <f t="shared" si="1"/>
        <v>28</v>
      </c>
      <c r="C31" s="3" t="str">
        <f t="shared" si="0"/>
        <v>0x0070</v>
      </c>
      <c r="D31" s="3" t="s">
        <v>38</v>
      </c>
      <c r="E31" s="3" t="s">
        <v>14</v>
      </c>
    </row>
    <row r="32" spans="2:5" x14ac:dyDescent="0.25">
      <c r="B32" s="10">
        <f t="shared" si="1"/>
        <v>29</v>
      </c>
      <c r="C32" s="3" t="str">
        <f t="shared" si="0"/>
        <v>0x0074</v>
      </c>
      <c r="D32" s="3" t="s">
        <v>104</v>
      </c>
      <c r="E32" s="3" t="s">
        <v>14</v>
      </c>
    </row>
    <row r="33" spans="2:5" x14ac:dyDescent="0.25">
      <c r="B33" s="10">
        <f t="shared" si="1"/>
        <v>30</v>
      </c>
      <c r="C33" s="3" t="str">
        <f t="shared" si="0"/>
        <v>0x0078</v>
      </c>
      <c r="D33" s="3" t="s">
        <v>45</v>
      </c>
      <c r="E33" s="3" t="s">
        <v>14</v>
      </c>
    </row>
    <row r="34" spans="2:5" x14ac:dyDescent="0.25">
      <c r="B34" s="10">
        <f t="shared" si="1"/>
        <v>31</v>
      </c>
      <c r="C34" s="3" t="str">
        <f t="shared" si="0"/>
        <v>0x007C</v>
      </c>
      <c r="D34" s="3" t="s">
        <v>9</v>
      </c>
      <c r="E34" s="3" t="s">
        <v>15</v>
      </c>
    </row>
    <row r="35" spans="2:5" x14ac:dyDescent="0.25">
      <c r="B35" s="51" t="s">
        <v>33</v>
      </c>
      <c r="C35" s="51"/>
      <c r="D35" s="51"/>
      <c r="E35" s="51"/>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51" t="s">
        <v>62</v>
      </c>
      <c r="C188" s="51"/>
      <c r="D188" s="51"/>
      <c r="E188" s="51"/>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B5" sqref="B5"/>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206</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61</v>
      </c>
      <c r="C3" s="17" t="s">
        <v>14</v>
      </c>
      <c r="D3" s="18">
        <v>0</v>
      </c>
      <c r="E3" s="23">
        <v>3</v>
      </c>
    </row>
    <row r="4" spans="1:5" x14ac:dyDescent="0.25">
      <c r="A4" s="10" t="s">
        <v>164</v>
      </c>
      <c r="B4" s="19" t="s">
        <v>2</v>
      </c>
      <c r="C4" s="3"/>
      <c r="D4" s="10"/>
      <c r="E4" s="10"/>
    </row>
    <row r="5" spans="1:5" x14ac:dyDescent="0.25">
      <c r="A5" s="18">
        <v>5</v>
      </c>
      <c r="B5" s="17" t="s">
        <v>147</v>
      </c>
      <c r="C5" s="40" t="s">
        <v>14</v>
      </c>
      <c r="D5" s="18">
        <v>0</v>
      </c>
      <c r="E5" s="18">
        <v>1</v>
      </c>
    </row>
    <row r="6" spans="1:5" x14ac:dyDescent="0.25">
      <c r="A6" s="10">
        <v>4</v>
      </c>
      <c r="B6" s="3" t="s">
        <v>42</v>
      </c>
      <c r="C6" s="33" t="s">
        <v>14</v>
      </c>
      <c r="D6" s="10">
        <v>0</v>
      </c>
      <c r="E6" s="10">
        <v>2</v>
      </c>
    </row>
    <row r="7" spans="1:5" x14ac:dyDescent="0.25">
      <c r="A7" s="18">
        <v>3</v>
      </c>
      <c r="B7" s="17" t="s">
        <v>41</v>
      </c>
      <c r="C7" s="40" t="s">
        <v>14</v>
      </c>
      <c r="D7" s="18">
        <v>0</v>
      </c>
      <c r="E7" s="18">
        <v>2</v>
      </c>
    </row>
    <row r="8" spans="1:5" x14ac:dyDescent="0.25">
      <c r="A8" s="10">
        <v>2</v>
      </c>
      <c r="B8" s="3" t="s">
        <v>40</v>
      </c>
      <c r="C8" s="33" t="s">
        <v>14</v>
      </c>
      <c r="D8" s="10">
        <v>0</v>
      </c>
      <c r="E8" s="10">
        <v>2</v>
      </c>
    </row>
    <row r="9" spans="1:5" x14ac:dyDescent="0.25">
      <c r="A9" s="18">
        <v>1</v>
      </c>
      <c r="B9" s="17" t="s">
        <v>39</v>
      </c>
      <c r="C9" s="40" t="s">
        <v>14</v>
      </c>
      <c r="D9" s="18">
        <v>0</v>
      </c>
      <c r="E9" s="18">
        <v>1</v>
      </c>
    </row>
    <row r="10" spans="1:5" x14ac:dyDescent="0.25">
      <c r="A10" s="10">
        <v>0</v>
      </c>
      <c r="B10" s="3" t="s">
        <v>55</v>
      </c>
      <c r="C10" s="33" t="s">
        <v>14</v>
      </c>
      <c r="D10" s="10">
        <v>0</v>
      </c>
      <c r="E10" s="10"/>
    </row>
    <row r="12" spans="1:5" x14ac:dyDescent="0.25">
      <c r="B12" s="5" t="s">
        <v>7</v>
      </c>
    </row>
    <row r="13" spans="1:5" x14ac:dyDescent="0.25">
      <c r="B13" s="7"/>
    </row>
    <row r="14" spans="1:5" ht="75" x14ac:dyDescent="0.25">
      <c r="B14" s="7" t="s">
        <v>148</v>
      </c>
    </row>
    <row r="15" spans="1:5" ht="60" x14ac:dyDescent="0.25">
      <c r="B15" s="7" t="s">
        <v>150</v>
      </c>
    </row>
    <row r="16" spans="1:5" x14ac:dyDescent="0.25">
      <c r="B16" s="7" t="s">
        <v>149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9"/>
  <sheetViews>
    <sheetView topLeftCell="A4" workbookViewId="0">
      <selection activeCell="B11" sqref="B11"/>
    </sheetView>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43</v>
      </c>
      <c r="C3" s="17" t="s">
        <v>23</v>
      </c>
      <c r="D3" s="18">
        <v>0</v>
      </c>
      <c r="E3" s="18"/>
    </row>
    <row r="4" spans="1:5" ht="15" customHeight="1" x14ac:dyDescent="0.25">
      <c r="A4" s="24" t="s">
        <v>180</v>
      </c>
      <c r="B4" s="6" t="s">
        <v>2</v>
      </c>
      <c r="C4" s="3" t="s">
        <v>23</v>
      </c>
      <c r="D4" s="10">
        <v>0</v>
      </c>
      <c r="E4" s="10"/>
    </row>
    <row r="5" spans="1:5" ht="15" customHeight="1" x14ac:dyDescent="0.25">
      <c r="A5" s="15" t="s">
        <v>179</v>
      </c>
      <c r="B5" s="16" t="s">
        <v>29</v>
      </c>
      <c r="C5" s="17" t="s">
        <v>23</v>
      </c>
      <c r="D5" s="18">
        <v>0</v>
      </c>
      <c r="E5" s="18"/>
    </row>
    <row r="6" spans="1:5" ht="68.25" customHeight="1" x14ac:dyDescent="0.25">
      <c r="A6" s="24" t="s">
        <v>178</v>
      </c>
      <c r="B6" s="6" t="s">
        <v>181</v>
      </c>
      <c r="C6" s="3" t="s">
        <v>23</v>
      </c>
      <c r="D6" s="10" t="s">
        <v>100</v>
      </c>
      <c r="E6" s="10"/>
    </row>
    <row r="7" spans="1:5" ht="15" customHeight="1" x14ac:dyDescent="0.25">
      <c r="A7" s="15">
        <v>15</v>
      </c>
      <c r="B7" s="16" t="s">
        <v>29</v>
      </c>
      <c r="C7" s="17" t="s">
        <v>23</v>
      </c>
      <c r="D7" s="18">
        <v>0</v>
      </c>
      <c r="E7" s="18"/>
    </row>
    <row r="8" spans="1:5" ht="15" customHeight="1" x14ac:dyDescent="0.25">
      <c r="A8" s="24">
        <v>14</v>
      </c>
      <c r="B8" s="6" t="s">
        <v>203</v>
      </c>
      <c r="C8" s="3" t="s">
        <v>23</v>
      </c>
      <c r="D8" s="10">
        <v>0</v>
      </c>
      <c r="E8" s="10"/>
    </row>
    <row r="9" spans="1:5" ht="15" customHeight="1" x14ac:dyDescent="0.25">
      <c r="A9" s="15">
        <v>13</v>
      </c>
      <c r="B9" s="16" t="s">
        <v>202</v>
      </c>
      <c r="C9" s="17" t="s">
        <v>23</v>
      </c>
      <c r="D9" s="18">
        <v>0</v>
      </c>
      <c r="E9" s="18"/>
    </row>
    <row r="10" spans="1:5" ht="15" customHeight="1" x14ac:dyDescent="0.25">
      <c r="A10" s="24">
        <v>12</v>
      </c>
      <c r="B10" s="6" t="s">
        <v>165</v>
      </c>
      <c r="C10" s="3" t="s">
        <v>23</v>
      </c>
      <c r="D10" s="10">
        <v>0</v>
      </c>
      <c r="E10" s="10">
        <v>6</v>
      </c>
    </row>
    <row r="11" spans="1:5" ht="15" customHeight="1" x14ac:dyDescent="0.25">
      <c r="A11" s="15">
        <v>11</v>
      </c>
      <c r="B11" s="16" t="s">
        <v>29</v>
      </c>
      <c r="C11" s="17" t="s">
        <v>23</v>
      </c>
      <c r="D11" s="18">
        <v>0</v>
      </c>
      <c r="E11" s="18"/>
    </row>
    <row r="12" spans="1:5" ht="68.45" customHeight="1" x14ac:dyDescent="0.25">
      <c r="A12" s="24">
        <v>10.8</v>
      </c>
      <c r="B12" s="6" t="s">
        <v>183</v>
      </c>
      <c r="C12" s="3" t="s">
        <v>23</v>
      </c>
      <c r="D12" s="10" t="s">
        <v>100</v>
      </c>
      <c r="E12" s="10">
        <v>5</v>
      </c>
    </row>
    <row r="13" spans="1:5" ht="15" customHeight="1" x14ac:dyDescent="0.25">
      <c r="A13" s="15">
        <v>7</v>
      </c>
      <c r="B13" s="16" t="s">
        <v>29</v>
      </c>
      <c r="C13" s="17" t="s">
        <v>23</v>
      </c>
      <c r="D13" s="18">
        <v>0</v>
      </c>
      <c r="E13" s="18"/>
    </row>
    <row r="14" spans="1:5" ht="69" customHeight="1" x14ac:dyDescent="0.25">
      <c r="A14" s="24" t="s">
        <v>98</v>
      </c>
      <c r="B14" s="6" t="s">
        <v>102</v>
      </c>
      <c r="C14" s="3" t="s">
        <v>23</v>
      </c>
      <c r="D14" s="10" t="s">
        <v>101</v>
      </c>
      <c r="E14" s="10">
        <v>4</v>
      </c>
    </row>
    <row r="15" spans="1:5" ht="15" customHeight="1" x14ac:dyDescent="0.25">
      <c r="A15" s="15">
        <v>4</v>
      </c>
      <c r="B15" s="16" t="s">
        <v>95</v>
      </c>
      <c r="C15" s="17" t="s">
        <v>23</v>
      </c>
      <c r="D15" s="18">
        <v>1</v>
      </c>
      <c r="E15" s="18">
        <v>3</v>
      </c>
    </row>
    <row r="16" spans="1:5" ht="15" customHeight="1" x14ac:dyDescent="0.25">
      <c r="A16" s="24">
        <v>3</v>
      </c>
      <c r="B16" s="6" t="s">
        <v>60</v>
      </c>
      <c r="C16" s="3" t="s">
        <v>23</v>
      </c>
      <c r="D16" s="10">
        <v>0</v>
      </c>
      <c r="E16" s="10">
        <v>2</v>
      </c>
    </row>
    <row r="17" spans="1:5" ht="15" customHeight="1" x14ac:dyDescent="0.25">
      <c r="A17" s="15">
        <v>2</v>
      </c>
      <c r="B17" s="16" t="s">
        <v>59</v>
      </c>
      <c r="C17" s="17" t="s">
        <v>23</v>
      </c>
      <c r="D17" s="18">
        <v>0</v>
      </c>
      <c r="E17" s="18"/>
    </row>
    <row r="18" spans="1:5" ht="15" customHeight="1" x14ac:dyDescent="0.25">
      <c r="A18" s="24">
        <v>1</v>
      </c>
      <c r="B18" s="6" t="s">
        <v>96</v>
      </c>
      <c r="C18" s="3" t="s">
        <v>23</v>
      </c>
      <c r="D18" s="10">
        <v>0</v>
      </c>
      <c r="E18" s="10"/>
    </row>
    <row r="19" spans="1:5" ht="15" customHeight="1" x14ac:dyDescent="0.25">
      <c r="A19" s="15">
        <v>0</v>
      </c>
      <c r="B19" s="16" t="s">
        <v>97</v>
      </c>
      <c r="C19" s="17" t="s">
        <v>23</v>
      </c>
      <c r="D19" s="18">
        <v>0</v>
      </c>
      <c r="E19" s="18">
        <v>1</v>
      </c>
    </row>
    <row r="20" spans="1:5" ht="15" customHeight="1" x14ac:dyDescent="0.25">
      <c r="A20" s="25"/>
      <c r="B20" s="4"/>
      <c r="D20" s="22"/>
      <c r="E20" s="22"/>
    </row>
    <row r="22" spans="1:5" x14ac:dyDescent="0.25">
      <c r="B22" s="11" t="s">
        <v>7</v>
      </c>
    </row>
    <row r="23" spans="1:5" ht="43.5" x14ac:dyDescent="0.25">
      <c r="B23" s="30" t="s">
        <v>129</v>
      </c>
    </row>
    <row r="24" spans="1:5" ht="43.5" x14ac:dyDescent="0.25">
      <c r="B24" s="31" t="s">
        <v>112</v>
      </c>
    </row>
    <row r="25" spans="1:5" ht="44.25" x14ac:dyDescent="0.25">
      <c r="B25" s="29" t="s">
        <v>130</v>
      </c>
    </row>
    <row r="26" spans="1:5" ht="30" x14ac:dyDescent="0.25">
      <c r="B26" s="29" t="s">
        <v>131</v>
      </c>
    </row>
    <row r="27" spans="1:5" ht="72.75" x14ac:dyDescent="0.25">
      <c r="B27" s="29" t="s">
        <v>132</v>
      </c>
    </row>
    <row r="28" spans="1:5" x14ac:dyDescent="0.25">
      <c r="B28" s="29" t="s">
        <v>166</v>
      </c>
    </row>
    <row r="29" spans="1:5" x14ac:dyDescent="0.25">
      <c r="B29"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94</v>
      </c>
      <c r="C3" s="17" t="s">
        <v>23</v>
      </c>
      <c r="D3" s="18"/>
      <c r="E3" s="18"/>
    </row>
    <row r="4" spans="1:5" x14ac:dyDescent="0.25">
      <c r="A4" s="10" t="s">
        <v>30</v>
      </c>
      <c r="B4" s="3" t="s">
        <v>93</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2</v>
      </c>
      <c r="C3" s="17" t="s">
        <v>19</v>
      </c>
      <c r="D3" s="18"/>
      <c r="E3" s="18"/>
    </row>
    <row r="4" spans="1:5" x14ac:dyDescent="0.25">
      <c r="A4" s="10" t="s">
        <v>30</v>
      </c>
      <c r="B4" s="3" t="s">
        <v>44</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49</v>
      </c>
      <c r="B3" s="16" t="s">
        <v>2</v>
      </c>
      <c r="C3" s="17" t="s">
        <v>19</v>
      </c>
      <c r="D3" s="18">
        <v>0</v>
      </c>
      <c r="E3" s="18"/>
    </row>
    <row r="4" spans="1:5" x14ac:dyDescent="0.25">
      <c r="A4" s="24">
        <v>4</v>
      </c>
      <c r="B4" s="6" t="s">
        <v>50</v>
      </c>
      <c r="C4" s="3" t="s">
        <v>14</v>
      </c>
      <c r="D4" s="10"/>
      <c r="E4" s="10"/>
    </row>
    <row r="5" spans="1:5" x14ac:dyDescent="0.25">
      <c r="A5" s="15">
        <v>3</v>
      </c>
      <c r="B5" s="16" t="s">
        <v>51</v>
      </c>
      <c r="C5" s="17" t="s">
        <v>14</v>
      </c>
      <c r="D5" s="18"/>
      <c r="E5" s="18"/>
    </row>
    <row r="6" spans="1:5" x14ac:dyDescent="0.25">
      <c r="A6" s="24">
        <v>2</v>
      </c>
      <c r="B6" s="6" t="s">
        <v>52</v>
      </c>
      <c r="C6" s="3" t="s">
        <v>14</v>
      </c>
      <c r="D6" s="10"/>
      <c r="E6" s="10"/>
    </row>
    <row r="7" spans="1:5" x14ac:dyDescent="0.25">
      <c r="A7" s="15">
        <v>1</v>
      </c>
      <c r="B7" s="16" t="s">
        <v>53</v>
      </c>
      <c r="C7" s="17" t="s">
        <v>14</v>
      </c>
      <c r="D7" s="18">
        <v>0</v>
      </c>
      <c r="E7" s="18"/>
    </row>
    <row r="8" spans="1:5" x14ac:dyDescent="0.25">
      <c r="A8" s="24">
        <v>0</v>
      </c>
      <c r="B8" s="6" t="s">
        <v>54</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2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82</v>
      </c>
      <c r="B3" s="16" t="s">
        <v>2</v>
      </c>
      <c r="C3" s="17" t="s">
        <v>19</v>
      </c>
      <c r="D3" s="18">
        <v>0</v>
      </c>
      <c r="E3" s="18"/>
    </row>
    <row r="4" spans="1:5" x14ac:dyDescent="0.25">
      <c r="A4" s="24">
        <v>11</v>
      </c>
      <c r="B4" s="6" t="s">
        <v>185</v>
      </c>
      <c r="C4" s="3" t="s">
        <v>14</v>
      </c>
      <c r="D4" s="10">
        <v>1</v>
      </c>
      <c r="E4" s="10">
        <v>4</v>
      </c>
    </row>
    <row r="5" spans="1:5" x14ac:dyDescent="0.25">
      <c r="A5" s="15">
        <v>10</v>
      </c>
      <c r="B5" s="16" t="s">
        <v>184</v>
      </c>
      <c r="C5" s="17" t="s">
        <v>14</v>
      </c>
      <c r="D5" s="18">
        <v>1</v>
      </c>
      <c r="E5" s="18">
        <v>3</v>
      </c>
    </row>
    <row r="6" spans="1:5" x14ac:dyDescent="0.25">
      <c r="A6" s="24">
        <v>9</v>
      </c>
      <c r="B6" s="6" t="s">
        <v>182</v>
      </c>
      <c r="C6" s="3" t="s">
        <v>14</v>
      </c>
      <c r="D6" s="10">
        <v>1</v>
      </c>
      <c r="E6" s="10">
        <v>2</v>
      </c>
    </row>
    <row r="7" spans="1:5" x14ac:dyDescent="0.25">
      <c r="A7" s="15">
        <v>8</v>
      </c>
      <c r="B7" s="16" t="s">
        <v>89</v>
      </c>
      <c r="C7" s="17" t="s">
        <v>14</v>
      </c>
      <c r="D7" s="18">
        <v>1</v>
      </c>
      <c r="E7" s="18">
        <v>1</v>
      </c>
    </row>
    <row r="8" spans="1:5" x14ac:dyDescent="0.25">
      <c r="A8" s="24" t="s">
        <v>81</v>
      </c>
      <c r="B8" s="6" t="s">
        <v>29</v>
      </c>
      <c r="C8" s="3" t="s">
        <v>14</v>
      </c>
      <c r="D8" s="10">
        <v>0</v>
      </c>
      <c r="E8" s="10"/>
    </row>
    <row r="9" spans="1:5" x14ac:dyDescent="0.25">
      <c r="A9" s="15">
        <v>5</v>
      </c>
      <c r="B9" s="16" t="s">
        <v>88</v>
      </c>
      <c r="C9" s="17" t="s">
        <v>14</v>
      </c>
      <c r="D9" s="18">
        <v>0</v>
      </c>
      <c r="E9" s="18"/>
    </row>
    <row r="10" spans="1:5" x14ac:dyDescent="0.25">
      <c r="A10" s="24">
        <v>4</v>
      </c>
      <c r="B10" s="6" t="s">
        <v>86</v>
      </c>
      <c r="C10" s="3" t="s">
        <v>14</v>
      </c>
      <c r="D10" s="10">
        <v>0</v>
      </c>
      <c r="E10" s="10"/>
    </row>
    <row r="11" spans="1:5" x14ac:dyDescent="0.25">
      <c r="A11" s="15">
        <v>3</v>
      </c>
      <c r="B11" s="16" t="s">
        <v>87</v>
      </c>
      <c r="C11" s="17" t="s">
        <v>14</v>
      </c>
      <c r="D11" s="18">
        <v>0</v>
      </c>
      <c r="E11" s="18"/>
    </row>
    <row r="12" spans="1:5" x14ac:dyDescent="0.25">
      <c r="A12" s="24">
        <v>2</v>
      </c>
      <c r="B12" s="6" t="s">
        <v>58</v>
      </c>
      <c r="C12" s="3" t="s">
        <v>14</v>
      </c>
      <c r="D12" s="10">
        <v>0</v>
      </c>
      <c r="E12" s="10"/>
    </row>
    <row r="13" spans="1:5" ht="65.45" customHeight="1" x14ac:dyDescent="0.25">
      <c r="A13" s="15" t="s">
        <v>57</v>
      </c>
      <c r="B13" s="16" t="s">
        <v>99</v>
      </c>
      <c r="C13" s="17" t="s">
        <v>14</v>
      </c>
      <c r="D13" s="18">
        <v>0</v>
      </c>
      <c r="E13" s="18"/>
    </row>
    <row r="14" spans="1:5" x14ac:dyDescent="0.25">
      <c r="A14" s="25"/>
      <c r="B14" s="4"/>
      <c r="D14" s="22"/>
      <c r="E14" s="22"/>
    </row>
    <row r="16" spans="1:5" x14ac:dyDescent="0.25">
      <c r="B16" s="11" t="s">
        <v>7</v>
      </c>
    </row>
    <row r="17" spans="2:2" ht="29.25" x14ac:dyDescent="0.25">
      <c r="B17" s="29" t="s">
        <v>186</v>
      </c>
    </row>
    <row r="18" spans="2:2" ht="43.5" x14ac:dyDescent="0.25">
      <c r="B18" s="29" t="s">
        <v>187</v>
      </c>
    </row>
    <row r="19" spans="2:2" ht="57.75" x14ac:dyDescent="0.25">
      <c r="B19" s="29" t="s">
        <v>188</v>
      </c>
    </row>
    <row r="20" spans="2:2" ht="29.25" x14ac:dyDescent="0.25">
      <c r="B20" s="29" t="s">
        <v>189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topLeftCell="A18" workbookViewId="0">
      <selection activeCell="B20" sqref="B20:B21"/>
    </sheetView>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64</v>
      </c>
      <c r="C4" s="3" t="s">
        <v>23</v>
      </c>
      <c r="D4" s="10" t="s">
        <v>65</v>
      </c>
      <c r="E4" s="10"/>
    </row>
    <row r="5" spans="1:5" x14ac:dyDescent="0.25">
      <c r="A5" s="18">
        <v>22</v>
      </c>
      <c r="B5" s="17" t="s">
        <v>74</v>
      </c>
      <c r="C5" s="17" t="s">
        <v>23</v>
      </c>
      <c r="D5" s="18"/>
      <c r="E5" s="18"/>
    </row>
    <row r="6" spans="1:5" x14ac:dyDescent="0.25">
      <c r="A6" s="10">
        <v>21</v>
      </c>
      <c r="B6" s="3" t="s">
        <v>63</v>
      </c>
      <c r="C6" s="3" t="s">
        <v>23</v>
      </c>
      <c r="D6" s="10"/>
      <c r="E6" s="10"/>
    </row>
    <row r="7" spans="1:5" x14ac:dyDescent="0.25">
      <c r="A7" s="18">
        <v>20</v>
      </c>
      <c r="B7" s="17" t="s">
        <v>71</v>
      </c>
      <c r="C7" s="17" t="s">
        <v>23</v>
      </c>
      <c r="D7" s="18"/>
      <c r="E7" s="18"/>
    </row>
    <row r="8" spans="1:5" x14ac:dyDescent="0.25">
      <c r="A8" s="10">
        <v>19</v>
      </c>
      <c r="B8" s="3" t="s">
        <v>72</v>
      </c>
      <c r="C8" s="3" t="s">
        <v>23</v>
      </c>
      <c r="D8" s="10"/>
      <c r="E8" s="10"/>
    </row>
    <row r="9" spans="1:5" ht="75" x14ac:dyDescent="0.25">
      <c r="A9" s="18" t="s">
        <v>155</v>
      </c>
      <c r="B9" s="20" t="s">
        <v>159</v>
      </c>
      <c r="C9" s="17" t="s">
        <v>23</v>
      </c>
      <c r="D9" s="18"/>
      <c r="E9" s="18">
        <v>1</v>
      </c>
    </row>
    <row r="10" spans="1:5" ht="75" x14ac:dyDescent="0.25">
      <c r="A10" s="10" t="s">
        <v>156</v>
      </c>
      <c r="B10" s="19" t="s">
        <v>160</v>
      </c>
      <c r="C10" s="3" t="s">
        <v>23</v>
      </c>
      <c r="D10" s="10"/>
      <c r="E10" s="10">
        <v>1</v>
      </c>
    </row>
    <row r="11" spans="1:5" x14ac:dyDescent="0.25">
      <c r="A11" s="18">
        <v>14</v>
      </c>
      <c r="B11" s="20" t="s">
        <v>73</v>
      </c>
      <c r="C11" s="17"/>
      <c r="D11" s="18"/>
      <c r="E11" s="18">
        <v>1</v>
      </c>
    </row>
    <row r="12" spans="1:5" x14ac:dyDescent="0.25">
      <c r="A12" s="10">
        <v>13</v>
      </c>
      <c r="B12" s="41" t="s">
        <v>157</v>
      </c>
      <c r="C12" s="3" t="s">
        <v>23</v>
      </c>
      <c r="D12" s="10"/>
      <c r="E12" s="10"/>
    </row>
    <row r="13" spans="1:5" x14ac:dyDescent="0.25">
      <c r="A13" s="18">
        <v>12</v>
      </c>
      <c r="B13" s="42" t="s">
        <v>158</v>
      </c>
      <c r="C13" s="17" t="s">
        <v>23</v>
      </c>
      <c r="D13" s="18"/>
      <c r="E13" s="18"/>
    </row>
    <row r="14" spans="1:5" x14ac:dyDescent="0.25">
      <c r="A14" s="43">
        <v>11</v>
      </c>
      <c r="B14" s="44" t="s">
        <v>92</v>
      </c>
      <c r="C14" s="45" t="s">
        <v>23</v>
      </c>
      <c r="D14" s="43"/>
      <c r="E14" s="43"/>
    </row>
    <row r="15" spans="1:5" x14ac:dyDescent="0.25">
      <c r="A15" s="18">
        <v>10</v>
      </c>
      <c r="B15" s="17" t="s">
        <v>91</v>
      </c>
      <c r="C15" s="17" t="s">
        <v>23</v>
      </c>
      <c r="D15" s="18">
        <v>0</v>
      </c>
      <c r="E15" s="18"/>
    </row>
    <row r="16" spans="1:5" x14ac:dyDescent="0.25">
      <c r="A16" s="10">
        <v>9</v>
      </c>
      <c r="B16" s="3" t="s">
        <v>91</v>
      </c>
      <c r="C16" s="3" t="s">
        <v>23</v>
      </c>
      <c r="D16" s="10">
        <v>0</v>
      </c>
      <c r="E16" s="10"/>
    </row>
    <row r="17" spans="1:5" x14ac:dyDescent="0.25">
      <c r="A17" s="18">
        <v>8</v>
      </c>
      <c r="B17" s="17" t="s">
        <v>70</v>
      </c>
      <c r="C17" s="17" t="s">
        <v>23</v>
      </c>
      <c r="D17" s="18">
        <v>0</v>
      </c>
      <c r="E17" s="18"/>
    </row>
    <row r="18" spans="1:5" ht="75" x14ac:dyDescent="0.25">
      <c r="A18" s="10" t="s">
        <v>81</v>
      </c>
      <c r="B18" s="19" t="s">
        <v>151</v>
      </c>
      <c r="C18" s="3" t="s">
        <v>23</v>
      </c>
      <c r="D18" s="10">
        <v>0</v>
      </c>
      <c r="E18" s="10">
        <v>1</v>
      </c>
    </row>
    <row r="19" spans="1:5" ht="90" x14ac:dyDescent="0.25">
      <c r="A19" s="18" t="s">
        <v>152</v>
      </c>
      <c r="B19" s="20" t="s">
        <v>153</v>
      </c>
      <c r="C19" s="17" t="s">
        <v>23</v>
      </c>
      <c r="D19" s="18">
        <v>0</v>
      </c>
      <c r="E19" s="18">
        <v>1</v>
      </c>
    </row>
    <row r="20" spans="1:5" x14ac:dyDescent="0.25">
      <c r="A20" s="10">
        <v>3</v>
      </c>
      <c r="B20" s="49" t="s">
        <v>204</v>
      </c>
      <c r="C20" s="3" t="s">
        <v>23</v>
      </c>
      <c r="D20" s="10">
        <v>0</v>
      </c>
      <c r="E20" s="10">
        <v>1</v>
      </c>
    </row>
    <row r="21" spans="1:5" x14ac:dyDescent="0.25">
      <c r="A21" s="18">
        <v>2</v>
      </c>
      <c r="B21" s="49" t="s">
        <v>205</v>
      </c>
      <c r="C21" s="17" t="s">
        <v>23</v>
      </c>
      <c r="D21" s="18">
        <v>0</v>
      </c>
      <c r="E21" s="18">
        <v>1</v>
      </c>
    </row>
    <row r="22" spans="1:5" x14ac:dyDescent="0.25">
      <c r="A22" s="10">
        <v>1</v>
      </c>
      <c r="B22" s="19" t="s">
        <v>91</v>
      </c>
      <c r="C22" s="3" t="s">
        <v>23</v>
      </c>
      <c r="D22" s="10">
        <v>0</v>
      </c>
      <c r="E22" s="10"/>
    </row>
    <row r="23" spans="1:5" x14ac:dyDescent="0.25">
      <c r="A23" s="18">
        <v>0</v>
      </c>
      <c r="B23" s="20" t="s">
        <v>91</v>
      </c>
      <c r="C23" s="17" t="s">
        <v>23</v>
      </c>
      <c r="D23" s="18">
        <v>0</v>
      </c>
      <c r="E23" s="18"/>
    </row>
    <row r="25" spans="1:5" x14ac:dyDescent="0.25">
      <c r="B25" s="5" t="s">
        <v>7</v>
      </c>
    </row>
    <row r="26" spans="1:5" ht="30" x14ac:dyDescent="0.25">
      <c r="B26" s="7" t="s">
        <v>154</v>
      </c>
    </row>
    <row r="27" spans="1:5" ht="105" x14ac:dyDescent="0.25">
      <c r="B27" s="7" t="s">
        <v>161</v>
      </c>
    </row>
    <row r="28" spans="1:5" ht="105" x14ac:dyDescent="0.25">
      <c r="B28" s="7" t="s">
        <v>162</v>
      </c>
    </row>
    <row r="29" spans="1:5" ht="105" x14ac:dyDescent="0.25">
      <c r="B29" s="7" t="s">
        <v>163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107</v>
      </c>
      <c r="B3" s="20" t="s">
        <v>2</v>
      </c>
      <c r="C3" s="17" t="s">
        <v>23</v>
      </c>
      <c r="D3" s="18"/>
      <c r="E3" s="18"/>
    </row>
    <row r="4" spans="1:5" x14ac:dyDescent="0.25">
      <c r="A4" s="10">
        <v>3</v>
      </c>
      <c r="B4" s="19" t="s">
        <v>106</v>
      </c>
      <c r="C4" s="3" t="s">
        <v>23</v>
      </c>
      <c r="D4" s="10">
        <v>0</v>
      </c>
      <c r="E4" s="10"/>
    </row>
    <row r="5" spans="1:5" x14ac:dyDescent="0.25">
      <c r="A5" s="18">
        <v>2</v>
      </c>
      <c r="B5" s="20" t="s">
        <v>106</v>
      </c>
      <c r="C5" s="17" t="s">
        <v>23</v>
      </c>
      <c r="D5" s="18">
        <v>0</v>
      </c>
      <c r="E5" s="18"/>
    </row>
    <row r="6" spans="1:5" x14ac:dyDescent="0.25">
      <c r="A6" s="10">
        <v>1</v>
      </c>
      <c r="B6" s="19" t="s">
        <v>105</v>
      </c>
      <c r="C6" s="3" t="s">
        <v>23</v>
      </c>
      <c r="D6" s="10">
        <v>0</v>
      </c>
      <c r="E6" s="10">
        <v>1</v>
      </c>
    </row>
    <row r="7" spans="1:5" x14ac:dyDescent="0.25">
      <c r="A7" s="18">
        <v>0</v>
      </c>
      <c r="B7" s="17" t="s">
        <v>108</v>
      </c>
      <c r="C7" s="17" t="s">
        <v>23</v>
      </c>
      <c r="D7" s="18">
        <v>0</v>
      </c>
      <c r="E7" s="18">
        <v>1</v>
      </c>
    </row>
    <row r="9" spans="1:5" x14ac:dyDescent="0.25">
      <c r="B9" s="8" t="s">
        <v>7</v>
      </c>
    </row>
    <row r="10" spans="1:5" ht="60" x14ac:dyDescent="0.25">
      <c r="B10" s="50" t="s">
        <v>207</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v>31</v>
      </c>
      <c r="B3" s="16" t="s">
        <v>175</v>
      </c>
      <c r="C3" s="17" t="s">
        <v>15</v>
      </c>
      <c r="D3" s="17">
        <v>0</v>
      </c>
      <c r="E3" s="18">
        <v>3</v>
      </c>
    </row>
    <row r="4" spans="1:5" x14ac:dyDescent="0.25">
      <c r="A4" s="24" t="s">
        <v>174</v>
      </c>
      <c r="B4" s="6" t="s">
        <v>171</v>
      </c>
      <c r="C4" s="3"/>
      <c r="D4" s="3"/>
      <c r="E4" s="10"/>
    </row>
    <row r="5" spans="1:5" x14ac:dyDescent="0.25">
      <c r="A5" s="18" t="s">
        <v>169</v>
      </c>
      <c r="B5" s="17" t="s">
        <v>170</v>
      </c>
      <c r="C5" s="17" t="s">
        <v>15</v>
      </c>
      <c r="D5" s="17" t="s">
        <v>65</v>
      </c>
      <c r="E5" s="18" t="s">
        <v>69</v>
      </c>
    </row>
    <row r="7" spans="1:5" x14ac:dyDescent="0.25">
      <c r="B7" s="5" t="s">
        <v>24</v>
      </c>
    </row>
    <row r="8" spans="1:5" ht="30" x14ac:dyDescent="0.25">
      <c r="B8" s="7" t="s">
        <v>172</v>
      </c>
    </row>
    <row r="9" spans="1:5" x14ac:dyDescent="0.25">
      <c r="B9" t="s">
        <v>173</v>
      </c>
    </row>
    <row r="10" spans="1:5" ht="30" x14ac:dyDescent="0.25">
      <c r="B10" s="7" t="s">
        <v>176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2"/>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67</v>
      </c>
      <c r="B3" s="20" t="s">
        <v>2</v>
      </c>
      <c r="C3" s="17"/>
      <c r="D3" s="18"/>
      <c r="E3" s="18"/>
    </row>
    <row r="4" spans="1:5" x14ac:dyDescent="0.25">
      <c r="A4" s="10" t="s">
        <v>66</v>
      </c>
      <c r="B4" s="3" t="s">
        <v>110</v>
      </c>
      <c r="C4" s="3" t="s">
        <v>23</v>
      </c>
      <c r="D4" s="10">
        <v>0</v>
      </c>
      <c r="E4" s="3">
        <v>1</v>
      </c>
    </row>
    <row r="6" spans="1:5" x14ac:dyDescent="0.25">
      <c r="B6" s="8" t="s">
        <v>7</v>
      </c>
    </row>
    <row r="7" spans="1:5" ht="85.5" x14ac:dyDescent="0.25">
      <c r="B7" s="27" t="s">
        <v>201</v>
      </c>
    </row>
    <row r="8" spans="1:5" ht="49.5" customHeight="1" x14ac:dyDescent="0.25">
      <c r="B8" s="28" t="s">
        <v>200</v>
      </c>
    </row>
    <row r="9" spans="1:5" ht="15" customHeight="1" x14ac:dyDescent="0.25"/>
    <row r="10" spans="1:5" x14ac:dyDescent="0.25">
      <c r="B10" s="26" t="s">
        <v>194</v>
      </c>
      <c r="C10" s="1">
        <v>100</v>
      </c>
      <c r="D10" t="s">
        <v>111</v>
      </c>
    </row>
    <row r="11" spans="1:5" x14ac:dyDescent="0.25">
      <c r="B11" s="26" t="s">
        <v>123</v>
      </c>
      <c r="C11" s="1">
        <v>0.98357099999999997</v>
      </c>
      <c r="D11" t="s">
        <v>121</v>
      </c>
    </row>
    <row r="12" spans="1:5" x14ac:dyDescent="0.25">
      <c r="B12" s="26" t="s">
        <v>122</v>
      </c>
      <c r="C12" s="37">
        <f>0.64*C11</f>
        <v>0.62948543999999995</v>
      </c>
      <c r="D12" t="s">
        <v>121</v>
      </c>
    </row>
    <row r="13" spans="1:5" x14ac:dyDescent="0.25">
      <c r="B13" s="26"/>
    </row>
    <row r="14" spans="1:5" x14ac:dyDescent="0.25">
      <c r="C14" s="52" t="s">
        <v>118</v>
      </c>
      <c r="D14" s="52"/>
      <c r="E14" s="32"/>
    </row>
    <row r="15" spans="1:5" x14ac:dyDescent="0.25">
      <c r="C15" s="33" t="s">
        <v>119</v>
      </c>
      <c r="D15" s="34">
        <v>6</v>
      </c>
      <c r="E15" s="32" t="s">
        <v>120</v>
      </c>
    </row>
    <row r="16" spans="1:5" x14ac:dyDescent="0.25">
      <c r="C16" s="33" t="s">
        <v>117</v>
      </c>
      <c r="D16" s="38">
        <f>(D15/C12)</f>
        <v>9.5315945671436033</v>
      </c>
      <c r="E16" s="32" t="s">
        <v>116</v>
      </c>
    </row>
    <row r="18" spans="3:5" x14ac:dyDescent="0.25">
      <c r="C18" s="53" t="s">
        <v>199</v>
      </c>
      <c r="D18" s="53"/>
    </row>
    <row r="19" spans="3:5" x14ac:dyDescent="0.25">
      <c r="C19" s="3" t="s">
        <v>195</v>
      </c>
      <c r="D19" s="47">
        <f>D16</f>
        <v>9.5315945671436033</v>
      </c>
      <c r="E19" t="s">
        <v>116</v>
      </c>
    </row>
    <row r="20" spans="3:5" x14ac:dyDescent="0.25">
      <c r="C20" s="3" t="s">
        <v>196</v>
      </c>
      <c r="D20" s="3">
        <v>170</v>
      </c>
      <c r="E20" t="s">
        <v>116</v>
      </c>
    </row>
    <row r="21" spans="3:5" x14ac:dyDescent="0.25">
      <c r="C21" s="3" t="s">
        <v>197</v>
      </c>
      <c r="D21" s="47">
        <f>SUM(D19:D20)</f>
        <v>179.5315945671436</v>
      </c>
      <c r="E21" t="s">
        <v>116</v>
      </c>
    </row>
    <row r="22" spans="3:5" x14ac:dyDescent="0.25">
      <c r="C22" s="3" t="s">
        <v>198</v>
      </c>
      <c r="D22" s="48">
        <f>ROUND((D21*C10)/1000,0)</f>
        <v>18</v>
      </c>
      <c r="E22" t="str">
        <f>"0x"&amp;DEC2HEX(D22)</f>
        <v>0x12</v>
      </c>
    </row>
  </sheetData>
  <mergeCells count="2">
    <mergeCell ref="C14:D14"/>
    <mergeCell ref="C18:D1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57.75" x14ac:dyDescent="0.25">
      <c r="B7" s="29" t="s">
        <v>133</v>
      </c>
    </row>
    <row r="8" spans="1:5" ht="39.75" customHeight="1" x14ac:dyDescent="0.25"/>
    <row r="9" spans="1:5" x14ac:dyDescent="0.25">
      <c r="B9" s="7" t="s">
        <v>26</v>
      </c>
    </row>
    <row r="10" spans="1:5" ht="36" customHeight="1" x14ac:dyDescent="0.25"/>
    <row r="11" spans="1:5" x14ac:dyDescent="0.25">
      <c r="B11" s="39" t="s">
        <v>138</v>
      </c>
      <c r="C11" s="1">
        <v>16</v>
      </c>
    </row>
    <row r="12" spans="1:5" ht="16.5" customHeight="1" x14ac:dyDescent="0.25">
      <c r="C12" s="54" t="s">
        <v>134</v>
      </c>
      <c r="D12" s="54"/>
      <c r="E12" s="32"/>
    </row>
    <row r="13" spans="1:5" x14ac:dyDescent="0.25">
      <c r="C13" s="33" t="s">
        <v>135</v>
      </c>
      <c r="D13" s="34">
        <v>40000</v>
      </c>
      <c r="E13" s="32" t="s">
        <v>139</v>
      </c>
    </row>
    <row r="14" spans="1:5" x14ac:dyDescent="0.25">
      <c r="C14" s="33" t="s">
        <v>136</v>
      </c>
      <c r="D14" s="35">
        <f>((D13*509.3140064)/(2^C11))-280.2308787</f>
        <v>30.62972090937501</v>
      </c>
      <c r="E14" s="32" t="s">
        <v>137</v>
      </c>
    </row>
    <row r="16" spans="1:5" x14ac:dyDescent="0.25">
      <c r="C16" s="33" t="s">
        <v>140</v>
      </c>
      <c r="D16" s="34" t="s">
        <v>142</v>
      </c>
      <c r="E16" s="32" t="s">
        <v>141</v>
      </c>
    </row>
    <row r="17" spans="3:5" x14ac:dyDescent="0.25">
      <c r="C17" s="33" t="s">
        <v>136</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78.75" customHeight="1" x14ac:dyDescent="0.25">
      <c r="B7" s="29" t="s">
        <v>46</v>
      </c>
    </row>
    <row r="8" spans="1:5" ht="39.75" customHeight="1" x14ac:dyDescent="0.25"/>
    <row r="9" spans="1:5" x14ac:dyDescent="0.25">
      <c r="B9" s="7" t="s">
        <v>47</v>
      </c>
    </row>
    <row r="10" spans="1:5" ht="36" customHeight="1" x14ac:dyDescent="0.25"/>
    <row r="11" spans="1:5" ht="16.5" customHeight="1" x14ac:dyDescent="0.25"/>
    <row r="12" spans="1:5" x14ac:dyDescent="0.25">
      <c r="B12" s="39" t="s">
        <v>138</v>
      </c>
      <c r="C12" s="1">
        <v>16</v>
      </c>
      <c r="D12" s="32"/>
      <c r="E12" s="32"/>
    </row>
    <row r="13" spans="1:5" x14ac:dyDescent="0.25">
      <c r="B13" s="32"/>
      <c r="C13" s="54" t="s">
        <v>143</v>
      </c>
      <c r="D13" s="54"/>
      <c r="E13" s="32"/>
    </row>
    <row r="14" spans="1:5" x14ac:dyDescent="0.25">
      <c r="B14" s="32"/>
      <c r="C14" s="33" t="s">
        <v>135</v>
      </c>
      <c r="D14" s="34">
        <v>40000</v>
      </c>
      <c r="E14" s="32" t="s">
        <v>139</v>
      </c>
    </row>
    <row r="15" spans="1:5" x14ac:dyDescent="0.25">
      <c r="B15" s="32"/>
      <c r="C15" s="33" t="s">
        <v>144</v>
      </c>
      <c r="D15" s="35">
        <f>(D14/(2^C12))*3</f>
        <v>1.8310546875</v>
      </c>
      <c r="E15" s="32" t="s">
        <v>145</v>
      </c>
    </row>
    <row r="16" spans="1:5" x14ac:dyDescent="0.25">
      <c r="B16" s="32"/>
    </row>
    <row r="17" spans="2:5" x14ac:dyDescent="0.25">
      <c r="B17" s="32"/>
      <c r="C17" s="33" t="s">
        <v>140</v>
      </c>
      <c r="D17" s="34" t="s">
        <v>142</v>
      </c>
      <c r="E17" s="32" t="s">
        <v>141</v>
      </c>
    </row>
    <row r="18" spans="2:5" x14ac:dyDescent="0.25">
      <c r="B18" s="32"/>
      <c r="C18" s="33" t="s">
        <v>144</v>
      </c>
      <c r="D18" s="35">
        <f>(HEX2DEC(D17)/(2^C12))*3</f>
        <v>1.8310546875</v>
      </c>
      <c r="E18" s="32" t="s">
        <v>145</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80</v>
      </c>
      <c r="B3" s="16" t="s">
        <v>2</v>
      </c>
      <c r="C3" s="17"/>
      <c r="D3" s="18"/>
      <c r="E3" s="18"/>
    </row>
    <row r="4" spans="1:5" ht="15" customHeight="1" x14ac:dyDescent="0.25">
      <c r="A4" s="24">
        <v>23</v>
      </c>
      <c r="B4" s="6" t="s">
        <v>79</v>
      </c>
      <c r="C4" s="3" t="s">
        <v>23</v>
      </c>
      <c r="D4" s="10">
        <v>0</v>
      </c>
      <c r="E4" s="10"/>
    </row>
    <row r="5" spans="1:5" ht="15" customHeight="1" x14ac:dyDescent="0.25">
      <c r="A5" s="15">
        <v>22</v>
      </c>
      <c r="B5" s="16" t="s">
        <v>167</v>
      </c>
      <c r="C5" s="17" t="s">
        <v>23</v>
      </c>
      <c r="D5" s="18">
        <v>0</v>
      </c>
      <c r="E5" s="18">
        <v>1</v>
      </c>
    </row>
    <row r="6" spans="1:5" ht="96.75" customHeight="1" x14ac:dyDescent="0.25">
      <c r="A6" s="24" t="s">
        <v>78</v>
      </c>
      <c r="B6" s="6" t="s">
        <v>168</v>
      </c>
      <c r="C6" s="3" t="s">
        <v>23</v>
      </c>
      <c r="D6" s="10">
        <v>0</v>
      </c>
      <c r="E6" s="10"/>
    </row>
    <row r="7" spans="1:5" ht="15" customHeight="1" x14ac:dyDescent="0.25">
      <c r="A7" s="15" t="s">
        <v>76</v>
      </c>
      <c r="B7" s="16" t="s">
        <v>77</v>
      </c>
      <c r="C7" s="17" t="s">
        <v>23</v>
      </c>
      <c r="D7" s="18">
        <v>0</v>
      </c>
      <c r="E7" s="18"/>
    </row>
    <row r="8" spans="1:5" ht="15" customHeight="1" x14ac:dyDescent="0.25">
      <c r="A8" s="24" t="s">
        <v>81</v>
      </c>
      <c r="B8" s="6" t="s">
        <v>84</v>
      </c>
      <c r="C8" s="3" t="s">
        <v>23</v>
      </c>
      <c r="D8" s="10">
        <v>0</v>
      </c>
      <c r="E8" s="10"/>
    </row>
    <row r="9" spans="1:5" ht="15" customHeight="1" x14ac:dyDescent="0.25">
      <c r="A9" s="15" t="s">
        <v>83</v>
      </c>
      <c r="B9" s="16" t="s">
        <v>85</v>
      </c>
      <c r="C9" s="17" t="s">
        <v>23</v>
      </c>
      <c r="D9" s="18">
        <v>0</v>
      </c>
      <c r="E9" s="18"/>
    </row>
    <row r="10" spans="1:5" ht="15" customHeight="1" x14ac:dyDescent="0.25">
      <c r="A10" s="24">
        <v>1</v>
      </c>
      <c r="B10" s="6" t="s">
        <v>109</v>
      </c>
      <c r="C10" s="3" t="s">
        <v>23</v>
      </c>
      <c r="D10" s="10">
        <v>0</v>
      </c>
      <c r="E10" s="10">
        <v>1</v>
      </c>
    </row>
    <row r="11" spans="1:5" ht="15" customHeight="1" x14ac:dyDescent="0.25">
      <c r="A11" s="15">
        <v>0</v>
      </c>
      <c r="B11" s="16" t="s">
        <v>75</v>
      </c>
      <c r="C11" s="17" t="s">
        <v>23</v>
      </c>
      <c r="D11" s="18">
        <v>0</v>
      </c>
      <c r="E11" s="18"/>
    </row>
    <row r="12" spans="1:5" ht="15" customHeight="1" x14ac:dyDescent="0.25">
      <c r="A12" s="25"/>
      <c r="B12" s="4"/>
      <c r="D12" s="22"/>
      <c r="E12" s="22"/>
    </row>
    <row r="14" spans="1:5" x14ac:dyDescent="0.25">
      <c r="B14" s="11" t="s">
        <v>7</v>
      </c>
    </row>
    <row r="15" spans="1:5" ht="25.5" x14ac:dyDescent="0.25">
      <c r="B15" s="4" t="s">
        <v>146</v>
      </c>
    </row>
    <row r="16" spans="1:5" x14ac:dyDescent="0.25">
      <c r="B16" s="7"/>
    </row>
    <row r="17" spans="2:2" x14ac:dyDescent="0.2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49</v>
      </c>
      <c r="B3" s="20" t="s">
        <v>2</v>
      </c>
      <c r="C3" s="17" t="s">
        <v>19</v>
      </c>
      <c r="D3" s="18"/>
      <c r="E3" s="18"/>
    </row>
    <row r="4" spans="1:5" x14ac:dyDescent="0.25">
      <c r="A4" s="10" t="s">
        <v>68</v>
      </c>
      <c r="B4" s="3" t="s">
        <v>124</v>
      </c>
      <c r="C4" s="3" t="s">
        <v>23</v>
      </c>
      <c r="D4" s="10">
        <v>0</v>
      </c>
      <c r="E4" s="10" t="s">
        <v>69</v>
      </c>
    </row>
    <row r="6" spans="1:5" x14ac:dyDescent="0.25">
      <c r="B6" s="8" t="s">
        <v>7</v>
      </c>
    </row>
    <row r="7" spans="1:5" ht="29.25" x14ac:dyDescent="0.25">
      <c r="B7" s="29" t="s">
        <v>125</v>
      </c>
    </row>
    <row r="8" spans="1:5" ht="29.25" x14ac:dyDescent="0.25">
      <c r="B8" s="29" t="s">
        <v>126</v>
      </c>
    </row>
    <row r="9" spans="1:5" ht="49.5" customHeight="1" x14ac:dyDescent="0.25"/>
    <row r="10" spans="1:5" x14ac:dyDescent="0.25">
      <c r="B10" s="39" t="s">
        <v>127</v>
      </c>
      <c r="C10" s="32">
        <v>100</v>
      </c>
      <c r="D10" s="32" t="s">
        <v>111</v>
      </c>
      <c r="E10" s="32"/>
    </row>
    <row r="11" spans="1:5" x14ac:dyDescent="0.25">
      <c r="B11" s="32"/>
      <c r="C11" s="32"/>
      <c r="D11" s="32"/>
      <c r="E11" s="32"/>
    </row>
    <row r="12" spans="1:5" x14ac:dyDescent="0.25">
      <c r="B12" s="32"/>
      <c r="C12" s="54" t="s">
        <v>128</v>
      </c>
      <c r="D12" s="54"/>
      <c r="E12" s="32"/>
    </row>
    <row r="13" spans="1:5" x14ac:dyDescent="0.25">
      <c r="B13" s="32"/>
      <c r="C13" s="33" t="s">
        <v>114</v>
      </c>
      <c r="D13" s="34">
        <v>50</v>
      </c>
      <c r="E13" s="32" t="s">
        <v>116</v>
      </c>
    </row>
    <row r="14" spans="1:5" x14ac:dyDescent="0.25">
      <c r="B14" s="32"/>
      <c r="C14" s="33" t="s">
        <v>113</v>
      </c>
      <c r="D14" s="35">
        <f>ROUND((D13*C10)/1000,0)</f>
        <v>5</v>
      </c>
      <c r="E14" s="32"/>
    </row>
    <row r="15" spans="1:5" x14ac:dyDescent="0.25">
      <c r="B15" s="32"/>
      <c r="C15" s="33" t="s">
        <v>115</v>
      </c>
      <c r="D15" s="36">
        <f>(D14/C10)*1000</f>
        <v>50</v>
      </c>
      <c r="E15" s="32" t="s">
        <v>116</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ATB_SW</vt:lpstr>
      <vt:lpstr>Scan_Limit_Result</vt:lpstr>
      <vt:lpstr>System_Status</vt:lpstr>
      <vt:lpstr>SWCR Status Bits</vt:lpstr>
      <vt:lpstr>ARM Status</vt:lpstr>
      <vt:lpstr>DCU Enable</vt:lpstr>
      <vt:lpstr>Start Delay SPI Reaback</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2026-06-01T20:43:50Z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