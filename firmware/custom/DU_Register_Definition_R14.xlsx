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49D1B6C5-7327-42CA-802C-13AAFB7DADE4}"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ATB_SW" sheetId="33" r:id="rId6"/>
    <sheet name="Scan_Limit_Result" sheetId="42" r:id="rId7"/>
    <sheet name="System_Status" sheetId="43" r:id="rId8"/>
    <sheet name="SWCR Status Bits" sheetId="44" r:id="rId9"/>
    <sheet name="Cable Delay" sheetId="45" r:id="rId10"/>
    <sheet name="ARM Status" sheetId="48" r:id="rId11"/>
    <sheet name="Die Temperature" sheetId="27" r:id="rId12"/>
    <sheet name="Voltage" sheetId="41" r:id="rId13"/>
    <sheet name="Diagnostic R-W" sheetId="14" r:id="rId14"/>
    <sheet name="DCU Status" sheetId="47" r:id="rId15"/>
    <sheet name="SPI Read Clk Delay" sheetId="4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41" l="1"/>
  <c r="D15" i="41"/>
  <c r="D17" i="27"/>
  <c r="D14" i="27"/>
  <c r="D15" i="46"/>
  <c r="D14" i="46"/>
  <c r="D28" i="45"/>
  <c r="D18" i="45"/>
  <c r="D14" i="45"/>
  <c r="D15" i="45" s="1"/>
  <c r="C21" i="45"/>
  <c r="C3" i="2"/>
  <c r="B4" i="2"/>
  <c r="B5" i="2" s="1"/>
  <c r="D25" i="45" l="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<sst xmlns="http://schemas.openxmlformats.org/spreadsheetml/2006/main" count="751" uniqueCount="184">
  <si>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</si>
  <si>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</si>
  <si>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</si>
  <si>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</si>
  <si>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</si>
  <si>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</si>
  <si>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</si>
  <si>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</si>
  <si>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</si>
  <si>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</si>
  <si>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</si>
  <si>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</si>
  <si>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</si>
  <si>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</si>
  <si>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</si>
  <si>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</si>
  <si>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</si>
  <si>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</si>
  <si>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</si>
  <si>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</si>
  <si>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</si>
  <si>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</si>
  <si>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</si>
  <si>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</si>
  <si>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</si>
  <si>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</si>
  <si>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</si>
  <si>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</si>
  <si>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</si>
  <si>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</si>
  <si>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</si>
  <si>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</si>
  <si>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</si>
  <si>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</si>
  <si>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</si>
  <si>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</si>
  <si>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</si>
  <si>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atb_sw_alpha (incoming steering word from the ATB)</t>
  </si>
  <si>
    <t>atb_sw_beta (incoming steering word from the ATB)</t>
  </si>
  <si>
    <t>VCCINT Voltage</t>
  </si>
  <si>
    <t>High Temperature alarm</t>
  </si>
  <si>
    <t>VCCINT Alarm</t>
  </si>
  <si>
    <t>VCCAUX Alarm</t>
  </si>
  <si>
    <t>VBRAM Alarm</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</si>
  <si>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</si>
  <si>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</si>
  <si>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</si>
  <si>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</si>
  <si>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</si>
  <si>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</si>
  <si>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</si>
  <si>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</si>
  <si>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</si>
  <si>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</si>
  <si>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</si>
  <si>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</si>
  <si>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</si>
  <si>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</si>
  <si>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</si>
  <si>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</si>
  <si>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</si>
  <si>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</si>
  <si>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</si>
  <si>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</si>
  <si>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</si>
  <si>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</si>
  <si>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b_00</t>
  </si>
  <si>
    <t>0x00</t>
  </si>
  <si>
    <t>5..0</t>
  </si>
  <si>
    <t>31..6</t>
  </si>
  <si>
    <t>4..0</t>
  </si>
  <si>
    <t>1, 2</t>
  </si>
  <si>
    <t>Overall SWCR Status</t>
  </si>
  <si>
    <t>Mode: 0=Online 1=Test</t>
  </si>
  <si>
    <t>Alpha DU Status: 0=No Go  1=Go</t>
  </si>
  <si>
    <t>Beta DU Status: 0=No Go  1=Go</t>
  </si>
  <si>
    <t>Temperature Status: 0=No Go  1=Go</t>
  </si>
  <si>
    <t xml:space="preserve">DCU Status: 0=No Go  1=Go </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</si>
  <si>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</si>
  <si>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</si>
  <si>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</si>
  <si>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</si>
  <si>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</si>
  <si>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</si>
  <si>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</si>
  <si>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</si>
  <si>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</si>
  <si>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</si>
  <si>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</si>
  <si>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[1]: This is a rolled up status for all 152 connected DCUs.  It is updated every transaction.  Any DCU with a CRC error will make this bit 0.</t>
  </si>
  <si>
    <t>Boresight Command: 1=A Boresight command was issued on the last Data Transfer request</t>
  </si>
  <si>
    <t>Off-Line Test Enable: 0=Not enabled 1=Enabled</t>
  </si>
  <si>
    <t>11..9</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</si>
  <si>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</si>
  <si>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</si>
  <si>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</si>
  <si>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</si>
  <si>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</si>
  <si>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</si>
  <si>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</si>
  <si>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</si>
  <si>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</si>
  <si>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</si>
  <si>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</si>
  <si>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</si>
  <si>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b_000</t>
  </si>
  <si>
    <t>b_11</t>
  </si>
  <si>
    <r>
      <t xml:space="preserve">DCU Command: Some commands from this register are only used in specific modes. See notes.
</t>
    </r>
    <r>
      <rPr>
        <sz val="10"/>
        <color theme="1"/>
        <rFont val="Courier New"/>
        <family val="3"/>
      </rPr>
      <t>000 = None        100 = Reset DCU
001 = Borsite     101 = Future Use
010 = Calibration 110 = Future Use
011 = CRC Reset   111 = Future Use</t>
    </r>
  </si>
  <si>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</si>
  <si>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</si>
  <si>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</si>
  <si>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</si>
  <si>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</si>
  <si>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</si>
  <si>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</si>
  <si>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[1] These bits will be used by the FPGA as part of the logic that sets the DU Ready LED</t>
  </si>
  <si>
    <t>Cable Delay compensation (course delay)</t>
  </si>
  <si>
    <t>DCU Type: 0=Alpha, 1=Beta</t>
  </si>
  <si>
    <t>Delay before SPI read starts after a SPI write begins.</t>
  </si>
  <si>
    <t>[1] This delay is defined in number of SPI clocks. This is considered course delay as it is in intervals of SPI clocks.  The individual SCLK delays are fine delay but have a maximum delay of one SPI clock. The following formula can be used to calculate delay.</t>
  </si>
  <si>
    <t>MHz</t>
  </si>
  <si>
    <t>Delay Calculator</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</si>
  <si>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</si>
  <si>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</si>
  <si>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</si>
  <si>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</si>
  <si>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</si>
  <si>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</si>
  <si>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</si>
  <si>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</si>
  <si>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</si>
  <si>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</si>
  <si>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Meters</t>
  </si>
  <si>
    <t xml:space="preserve"> Cable Delay (64% the speed of light for CAT-5) =</t>
  </si>
  <si>
    <t xml:space="preserve"> Speed of Light =</t>
  </si>
  <si>
    <t xml:space="preserve"> Where SPI  Frequency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</si>
  <si>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</si>
  <si>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</si>
  <si>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</si>
  <si>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</si>
  <si>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</si>
  <si>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</si>
  <si>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</si>
  <si>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</si>
  <si>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</si>
  <si>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This delay is used to account for CAT-5 cable length.  All Alpha cables and all beta cables will be the same length (but Alpha and Beta lenghts will be different).  This delay is applied to all 152 SPI read backs. Depending on final cable length and SPI data rate this may not be needed.</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</si>
  <si>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</si>
  <si>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</si>
  <si>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</si>
  <si>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</si>
  <si>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</si>
  <si>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</si>
  <si>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</si>
  <si>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</si>
  <si>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</si>
  <si>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</si>
  <si>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</si>
  <si>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</si>
  <si>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</si>
  <si>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</si>
  <si>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</si>
  <si>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</si>
  <si>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</si>
  <si>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</si>
  <si>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Data Type: (WLAC18=Bit7 and WLAC17=Bit6)
00 = Error
01 = Config
10 = Status 
11 = I/O Module Status</t>
  </si>
  <si>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</si>
  <si>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</si>
  <si>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</si>
  <si>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</si>
  <si>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</si>
  <si>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</si>
  <si>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</si>
  <si>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</si>
  <si>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</si>
  <si>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Config</t>
    </r>
    <r>
      <rPr>
        <sz val="11"/>
        <color theme="1"/>
        <rFont val="Calibri"/>
        <family val="2"/>
        <scheme val="minor"/>
      </rPr>
      <t>:
WLAC11 = Future use
WLAC12 = Future use
WLAC13 = Future use
WLAC14 = Mode: Bit-3
WLAC15 = Systen Configuraiton LSB: Bit-4
WLAC16 = Systen Configuraiton MSB: status reg Bit-5</t>
    </r>
  </si>
  <si>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</si>
  <si>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</si>
  <si>
    <t>Last version to affect the register map: 2.1</t>
  </si>
  <si>
    <t>30..6</t>
  </si>
  <si>
    <t>Shutdown Command: 0=Normal Operation, 1=Shutdown</t>
  </si>
  <si>
    <t>30 .. 16</t>
  </si>
  <si>
    <r>
      <rPr>
        <b/>
        <sz val="11"/>
        <color theme="1"/>
        <rFont val="Arial"/>
        <family val="2"/>
      </rPr>
      <t>[6]</t>
    </r>
    <r>
      <rPr>
        <sz val="11"/>
        <color theme="1"/>
        <rFont val="Arial"/>
        <family val="2"/>
      </rPr>
      <t xml:space="preserve"> When this bit is one the DU will no longer process incoming commands from the ATB</t>
    </r>
  </si>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</sst>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8" fillId="3" borderId="1" xfId="0" applyFont="1" applyFill="1" applyBorder="1"/>
    <xf numFmtId="0" fontId="0" fillId="0" borderId="1" xfId="0" quotePrefix="1" applyBorder="1"/>
    <xf numFmtId="0" fontId="0" fillId="3" borderId="1" xfId="0" quotePrefix="1" applyFill="1" applyBorder="1"/>
    <xf numFmtId="0" fontId="10" fillId="0" borderId="1" xfId="0" applyFont="1" applyBorder="1" applyAlignment="1">
      <alignment horizontal="center"/>
    </xf>
    <xf numFmtId="0" fontId="10" fillId="0" borderId="1" xfId="0" applyFont="1" applyBorder="1" applyAlignment="1">
      <alignment wrapText="1"/>
    </xf>
    <xf numFmtId="0" fontId="10" fillId="0" borderId="1" xfId="0" applyFont="1" applyBorder="1"/>
    <xf numFmtId="0" fontId="0" fillId="4" borderId="1" xfId="0" applyFill="1" applyBorder="1" applyAlignment="1">
      <alignment horizontal="left"/>
    </xf>
    <xf numFmtId="0" fontId="8"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8</xdr:row>
      <xdr:rowOff>19050</xdr:rowOff>
    </xdr:from>
    <xdr:to>
      <xdr:col>1</xdr:col>
      <xdr:colOff>5438775</xdr:colOff>
      <xdr:row>9</xdr:row>
      <xdr:rowOff>76200</xdr:rowOff>
    </xdr:to>
    <xdr:pic>
      <xdr:nvPicPr>
        <xdr:cNvPr id="3" name="Picture 2">
          <a:extLst>
            <a:ext uri="{FF2B5EF4-FFF2-40B4-BE49-F238E27FC236}">
              <a16:creationId xmlns:a16="http://schemas.microsoft.com/office/drawing/2014/main" id="{6BFEE0AF-9794-8B2D-A893-8F945AE78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68605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1.710937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28</v>
      </c>
      <c r="E4" s="3" t="s">
        <v>14</v>
      </c>
    </row>
    <row r="5" spans="2:5" x14ac:dyDescent="0.25">
      <c r="B5" s="10">
        <f t="shared" ref="B5:B34" si="1">B4+1</f>
        <v>2</v>
      </c>
      <c r="C5" s="3" t="str">
        <f t="shared" si="0"/>
        <v>0x0008</v>
      </c>
      <c r="D5" s="3" t="s">
        <v>33</v>
      </c>
      <c r="E5" s="3" t="s">
        <v>15</v>
      </c>
    </row>
    <row r="6" spans="2:5" x14ac:dyDescent="0.25">
      <c r="B6" s="10">
        <f t="shared" si="1"/>
        <v>3</v>
      </c>
      <c r="C6" s="3" t="str">
        <f t="shared" si="0"/>
        <v>0x000C</v>
      </c>
      <c r="D6" s="3" t="s">
        <v>35</v>
      </c>
      <c r="E6" s="3" t="s">
        <v>15</v>
      </c>
    </row>
    <row r="7" spans="2:5" x14ac:dyDescent="0.25">
      <c r="B7" s="10">
        <f t="shared" si="1"/>
        <v>4</v>
      </c>
      <c r="C7" s="3" t="str">
        <f t="shared" si="0"/>
        <v>0x0010</v>
      </c>
      <c r="D7" s="3" t="s">
        <v>36</v>
      </c>
      <c r="E7" s="3" t="s">
        <v>15</v>
      </c>
    </row>
    <row r="8" spans="2:5" x14ac:dyDescent="0.25">
      <c r="B8" s="10">
        <f t="shared" si="1"/>
        <v>5</v>
      </c>
      <c r="C8" s="3" t="str">
        <f t="shared" si="0"/>
        <v>0x0014</v>
      </c>
      <c r="D8" s="3" t="s">
        <v>37</v>
      </c>
      <c r="E8" s="3" t="s">
        <v>14</v>
      </c>
    </row>
    <row r="9" spans="2:5" x14ac:dyDescent="0.25">
      <c r="B9" s="10">
        <f t="shared" si="1"/>
        <v>6</v>
      </c>
      <c r="C9" s="3" t="str">
        <f t="shared" si="0"/>
        <v>0x0018</v>
      </c>
      <c r="D9" s="3" t="s">
        <v>38</v>
      </c>
      <c r="E9" s="3" t="s">
        <v>14</v>
      </c>
    </row>
    <row r="10" spans="2:5" x14ac:dyDescent="0.25">
      <c r="B10" s="10">
        <f t="shared" si="1"/>
        <v>7</v>
      </c>
      <c r="C10" s="3" t="str">
        <f t="shared" si="0"/>
        <v>0x001C</v>
      </c>
      <c r="D10" s="3" t="s">
        <v>49</v>
      </c>
      <c r="E10" s="3" t="s">
        <v>14</v>
      </c>
    </row>
    <row r="11" spans="2:5" x14ac:dyDescent="0.25">
      <c r="B11" s="10">
        <f t="shared" si="1"/>
        <v>8</v>
      </c>
      <c r="C11" s="3" t="str">
        <f t="shared" si="0"/>
        <v>0x0020</v>
      </c>
      <c r="D11" s="3" t="s">
        <v>57</v>
      </c>
      <c r="E11" s="3" t="s">
        <v>14</v>
      </c>
    </row>
    <row r="12" spans="2:5" x14ac:dyDescent="0.25">
      <c r="B12" s="10">
        <f t="shared" si="1"/>
        <v>9</v>
      </c>
      <c r="C12" s="3" t="str">
        <f t="shared" si="0"/>
        <v>0x0024</v>
      </c>
      <c r="D12" s="3" t="s">
        <v>95</v>
      </c>
      <c r="E12" s="3" t="s">
        <v>15</v>
      </c>
    </row>
    <row r="13" spans="2:5" x14ac:dyDescent="0.25">
      <c r="B13" s="10">
        <f t="shared" si="1"/>
        <v>10</v>
      </c>
      <c r="C13" s="3" t="str">
        <f t="shared" si="0"/>
        <v>0x0028</v>
      </c>
      <c r="D13" s="3" t="s">
        <v>116</v>
      </c>
      <c r="E13" s="3" t="s">
        <v>15</v>
      </c>
    </row>
    <row r="14" spans="2:5" x14ac:dyDescent="0.25">
      <c r="B14" s="10">
        <f t="shared" si="1"/>
        <v>11</v>
      </c>
      <c r="C14" s="3" t="str">
        <f t="shared" si="0"/>
        <v>0x002C</v>
      </c>
      <c r="D14" s="3" t="s">
        <v>109</v>
      </c>
      <c r="E14" s="3" t="s">
        <v>15</v>
      </c>
    </row>
    <row r="15" spans="2:5" x14ac:dyDescent="0.25">
      <c r="B15" s="10">
        <f t="shared" si="1"/>
        <v>12</v>
      </c>
      <c r="C15" s="3" t="str">
        <f t="shared" si="0"/>
        <v>0x0030</v>
      </c>
      <c r="D15" s="3" t="s">
        <v>16</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29</v>
      </c>
      <c r="E30" s="3" t="s">
        <v>14</v>
      </c>
    </row>
    <row r="31" spans="2:5" x14ac:dyDescent="0.25">
      <c r="B31" s="10">
        <f t="shared" si="1"/>
        <v>28</v>
      </c>
      <c r="C31" s="3" t="str">
        <f t="shared" si="0"/>
        <v>0x0070</v>
      </c>
      <c r="D31" s="3" t="s">
        <v>39</v>
      </c>
      <c r="E31" s="3" t="s">
        <v>14</v>
      </c>
    </row>
    <row r="32" spans="2:5" x14ac:dyDescent="0.25">
      <c r="B32" s="10">
        <f t="shared" si="1"/>
        <v>29</v>
      </c>
      <c r="C32" s="3" t="str">
        <f t="shared" si="0"/>
        <v>0x0074</v>
      </c>
      <c r="D32" s="3" t="s">
        <v>110</v>
      </c>
      <c r="E32" s="3" t="s">
        <v>14</v>
      </c>
    </row>
    <row r="33" spans="2:5" x14ac:dyDescent="0.25">
      <c r="B33" s="10">
        <f t="shared" si="1"/>
        <v>30</v>
      </c>
      <c r="C33" s="3" t="str">
        <f t="shared" si="0"/>
        <v>0x0078</v>
      </c>
      <c r="D33" s="3" t="s">
        <v>46</v>
      </c>
      <c r="E33" s="3" t="s">
        <v>14</v>
      </c>
    </row>
    <row r="34" spans="2:5" x14ac:dyDescent="0.25">
      <c r="B34" s="10">
        <f t="shared" si="1"/>
        <v>31</v>
      </c>
      <c r="C34" s="3" t="str">
        <f t="shared" si="0"/>
        <v>0x007C</v>
      </c>
      <c r="D34" s="3" t="s">
        <v>9</v>
      </c>
      <c r="E34" s="3" t="s">
        <v>15</v>
      </c>
    </row>
    <row r="35" spans="2:5" x14ac:dyDescent="0.25">
      <c r="B35" s="46" t="s">
        <v>34</v>
      </c>
      <c r="C35" s="46"/>
      <c r="D35" s="46"/>
      <c r="E35" s="46"/>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46" t="s">
        <v>63</v>
      </c>
      <c r="C188" s="46"/>
      <c r="D188" s="46"/>
      <c r="E188" s="46"/>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177</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6"/>
  <sheetViews>
    <sheetView workbookViewId="0"/>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62</v>
      </c>
      <c r="C3" s="17" t="s">
        <v>14</v>
      </c>
      <c r="D3" s="18">
        <v>0</v>
      </c>
      <c r="E3" s="23">
        <v>3</v>
      </c>
    </row>
    <row r="4" spans="1:5" x14ac:dyDescent="0.25">
      <c r="A4" s="10" t="s">
        <v>178</v>
      </c>
      <c r="B4" s="19" t="s">
        <v>2</v>
      </c>
      <c r="C4" s="3"/>
      <c r="D4" s="10"/>
      <c r="E4" s="10"/>
    </row>
    <row r="5" spans="1:5" x14ac:dyDescent="0.25">
      <c r="A5" s="18">
        <v>5</v>
      </c>
      <c r="B5" s="17" t="s">
        <v>160</v>
      </c>
      <c r="C5" s="40" t="s">
        <v>14</v>
      </c>
      <c r="D5" s="18">
        <v>0</v>
      </c>
      <c r="E5" s="18">
        <v>1</v>
      </c>
    </row>
    <row r="6" spans="1:5" x14ac:dyDescent="0.25">
      <c r="A6" s="10">
        <v>4</v>
      </c>
      <c r="B6" s="3" t="s">
        <v>43</v>
      </c>
      <c r="C6" s="33" t="s">
        <v>14</v>
      </c>
      <c r="D6" s="10">
        <v>0</v>
      </c>
      <c r="E6" s="10">
        <v>2</v>
      </c>
    </row>
    <row r="7" spans="1:5" x14ac:dyDescent="0.25">
      <c r="A7" s="18">
        <v>3</v>
      </c>
      <c r="B7" s="17" t="s">
        <v>42</v>
      </c>
      <c r="C7" s="40" t="s">
        <v>14</v>
      </c>
      <c r="D7" s="18">
        <v>0</v>
      </c>
      <c r="E7" s="18">
        <v>2</v>
      </c>
    </row>
    <row r="8" spans="1:5" x14ac:dyDescent="0.25">
      <c r="A8" s="10">
        <v>2</v>
      </c>
      <c r="B8" s="3" t="s">
        <v>41</v>
      </c>
      <c r="C8" s="33" t="s">
        <v>14</v>
      </c>
      <c r="D8" s="10">
        <v>0</v>
      </c>
      <c r="E8" s="10">
        <v>2</v>
      </c>
    </row>
    <row r="9" spans="1:5" x14ac:dyDescent="0.25">
      <c r="A9" s="18">
        <v>1</v>
      </c>
      <c r="B9" s="17" t="s">
        <v>40</v>
      </c>
      <c r="C9" s="40" t="s">
        <v>14</v>
      </c>
      <c r="D9" s="18">
        <v>0</v>
      </c>
      <c r="E9" s="18">
        <v>1</v>
      </c>
    </row>
    <row r="10" spans="1:5" x14ac:dyDescent="0.25">
      <c r="A10" s="10">
        <v>0</v>
      </c>
      <c r="B10" s="3" t="s">
        <v>56</v>
      </c>
      <c r="C10" s="33" t="s">
        <v>14</v>
      </c>
      <c r="D10" s="10">
        <v>0</v>
      </c>
      <c r="E10" s="10"/>
    </row>
    <row r="12" spans="1:5" x14ac:dyDescent="0.25">
      <c r="B12" s="5" t="s">
        <v>7</v>
      </c>
    </row>
    <row r="13" spans="1:5" x14ac:dyDescent="0.25">
      <c r="B13" s="7"/>
    </row>
    <row r="14" spans="1:5" ht="75" x14ac:dyDescent="0.25">
      <c r="B14" s="7" t="s">
        <v>161</v>
      </c>
    </row>
    <row r="15" spans="1:5" ht="60" x14ac:dyDescent="0.25">
      <c r="B15" s="7" t="s">
        <v>163</v>
      </c>
    </row>
    <row r="16" spans="1:5" x14ac:dyDescent="0.25">
      <c r="B16" s="7" t="s">
        <v>162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5"/>
  <sheetViews>
    <sheetView workbookViewId="0"/>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44</v>
      </c>
      <c r="C3" s="17" t="s">
        <v>23</v>
      </c>
      <c r="D3" s="18">
        <v>0</v>
      </c>
      <c r="E3" s="18"/>
    </row>
    <row r="4" spans="1:5" ht="15" customHeight="1" x14ac:dyDescent="0.25">
      <c r="A4" s="24" t="s">
        <v>180</v>
      </c>
      <c r="B4" s="6" t="s">
        <v>2</v>
      </c>
      <c r="C4" s="3" t="s">
        <v>23</v>
      </c>
      <c r="D4" s="10">
        <v>0</v>
      </c>
      <c r="E4" s="10"/>
    </row>
    <row r="5" spans="1:5" ht="15" customHeight="1" x14ac:dyDescent="0.25">
      <c r="A5" s="15" t="s">
        <v>25</v>
      </c>
      <c r="B5" s="16" t="s">
        <v>30</v>
      </c>
      <c r="C5" s="17" t="s">
        <v>23</v>
      </c>
      <c r="D5" s="18">
        <v>0</v>
      </c>
      <c r="E5" s="18"/>
    </row>
    <row r="6" spans="1:5" ht="15" customHeight="1" x14ac:dyDescent="0.25">
      <c r="A6" s="24">
        <v>12</v>
      </c>
      <c r="B6" s="6" t="s">
        <v>179</v>
      </c>
      <c r="C6" s="3" t="s">
        <v>23</v>
      </c>
      <c r="D6" s="10">
        <v>0</v>
      </c>
      <c r="E6" s="10">
        <v>6</v>
      </c>
    </row>
    <row r="7" spans="1:5" ht="15" customHeight="1" x14ac:dyDescent="0.25">
      <c r="A7" s="15">
        <v>11</v>
      </c>
      <c r="B7" s="16" t="s">
        <v>30</v>
      </c>
      <c r="C7" s="17" t="s">
        <v>23</v>
      </c>
      <c r="D7" s="18">
        <v>0</v>
      </c>
      <c r="E7" s="18"/>
    </row>
    <row r="8" spans="1:5" ht="68.45" customHeight="1" x14ac:dyDescent="0.25">
      <c r="A8" s="24">
        <v>10.8</v>
      </c>
      <c r="B8" s="6" t="s">
        <v>107</v>
      </c>
      <c r="C8" s="3" t="s">
        <v>23</v>
      </c>
      <c r="D8" s="10" t="s">
        <v>105</v>
      </c>
      <c r="E8" s="10">
        <v>5</v>
      </c>
    </row>
    <row r="9" spans="1:5" ht="15" customHeight="1" x14ac:dyDescent="0.25">
      <c r="A9" s="15">
        <v>7</v>
      </c>
      <c r="B9" s="16" t="s">
        <v>30</v>
      </c>
      <c r="C9" s="17" t="s">
        <v>23</v>
      </c>
      <c r="D9" s="18">
        <v>0</v>
      </c>
      <c r="E9" s="18"/>
    </row>
    <row r="10" spans="1:5" ht="69" customHeight="1" x14ac:dyDescent="0.25">
      <c r="A10" s="24" t="s">
        <v>103</v>
      </c>
      <c r="B10" s="6" t="s">
        <v>108</v>
      </c>
      <c r="C10" s="3" t="s">
        <v>23</v>
      </c>
      <c r="D10" s="10" t="s">
        <v>106</v>
      </c>
      <c r="E10" s="10">
        <v>4</v>
      </c>
    </row>
    <row r="11" spans="1:5" ht="15" customHeight="1" x14ac:dyDescent="0.25">
      <c r="A11" s="15">
        <v>4</v>
      </c>
      <c r="B11" s="16" t="s">
        <v>100</v>
      </c>
      <c r="C11" s="17" t="s">
        <v>23</v>
      </c>
      <c r="D11" s="18">
        <v>1</v>
      </c>
      <c r="E11" s="18">
        <v>3</v>
      </c>
    </row>
    <row r="12" spans="1:5" ht="15" customHeight="1" x14ac:dyDescent="0.25">
      <c r="A12" s="24">
        <v>3</v>
      </c>
      <c r="B12" s="6" t="s">
        <v>61</v>
      </c>
      <c r="C12" s="3" t="s">
        <v>23</v>
      </c>
      <c r="D12" s="10">
        <v>0</v>
      </c>
      <c r="E12" s="10">
        <v>2</v>
      </c>
    </row>
    <row r="13" spans="1:5" ht="15" customHeight="1" x14ac:dyDescent="0.25">
      <c r="A13" s="15">
        <v>2</v>
      </c>
      <c r="B13" s="16" t="s">
        <v>60</v>
      </c>
      <c r="C13" s="17" t="s">
        <v>23</v>
      </c>
      <c r="D13" s="18">
        <v>0</v>
      </c>
      <c r="E13" s="18"/>
    </row>
    <row r="14" spans="1:5" ht="15" customHeight="1" x14ac:dyDescent="0.25">
      <c r="A14" s="24">
        <v>1</v>
      </c>
      <c r="B14" s="6" t="s">
        <v>101</v>
      </c>
      <c r="C14" s="3" t="s">
        <v>23</v>
      </c>
      <c r="D14" s="10">
        <v>0</v>
      </c>
      <c r="E14" s="10"/>
    </row>
    <row r="15" spans="1:5" ht="15" customHeight="1" x14ac:dyDescent="0.25">
      <c r="A15" s="15">
        <v>0</v>
      </c>
      <c r="B15" s="16" t="s">
        <v>102</v>
      </c>
      <c r="C15" s="17" t="s">
        <v>23</v>
      </c>
      <c r="D15" s="18">
        <v>0</v>
      </c>
      <c r="E15" s="18">
        <v>1</v>
      </c>
    </row>
    <row r="16" spans="1:5" ht="15" customHeight="1" x14ac:dyDescent="0.25">
      <c r="A16" s="25"/>
      <c r="B16" s="4"/>
      <c r="D16" s="22"/>
      <c r="E16" s="22"/>
    </row>
    <row r="18" spans="2:2" x14ac:dyDescent="0.25">
      <c r="B18" s="11" t="s">
        <v>7</v>
      </c>
    </row>
    <row r="19" spans="2:2" ht="43.5" x14ac:dyDescent="0.25">
      <c r="B19" s="30" t="s">
        <v>141</v>
      </c>
    </row>
    <row r="20" spans="2:2" ht="43.5" x14ac:dyDescent="0.25">
      <c r="B20" s="31" t="s">
        <v>122</v>
      </c>
    </row>
    <row r="21" spans="2:2" ht="44.25" x14ac:dyDescent="0.25">
      <c r="B21" s="29" t="s">
        <v>142</v>
      </c>
    </row>
    <row r="22" spans="2:2" ht="30" x14ac:dyDescent="0.25">
      <c r="B22" s="29" t="s">
        <v>143</v>
      </c>
    </row>
    <row r="23" spans="2:2" ht="72.75" x14ac:dyDescent="0.25">
      <c r="B23" s="29" t="s">
        <v>144</v>
      </c>
    </row>
    <row r="24" spans="2:2" x14ac:dyDescent="0.25">
      <c r="B24" s="29" t="s">
        <v>181</v>
      </c>
    </row>
    <row r="25" spans="2:2" x14ac:dyDescent="0.25">
      <c r="B25"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99</v>
      </c>
      <c r="C3" s="17" t="s">
        <v>23</v>
      </c>
      <c r="D3" s="18"/>
      <c r="E3" s="18"/>
    </row>
    <row r="4" spans="1:5" x14ac:dyDescent="0.25">
      <c r="A4" s="10" t="s">
        <v>31</v>
      </c>
      <c r="B4" s="3" t="s">
        <v>98</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2</v>
      </c>
      <c r="C3" s="17" t="s">
        <v>19</v>
      </c>
      <c r="D3" s="18"/>
      <c r="E3" s="18"/>
    </row>
    <row r="4" spans="1:5" x14ac:dyDescent="0.25">
      <c r="A4" s="10" t="s">
        <v>31</v>
      </c>
      <c r="B4" s="3" t="s">
        <v>45</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50</v>
      </c>
      <c r="B3" s="16" t="s">
        <v>2</v>
      </c>
      <c r="C3" s="17" t="s">
        <v>19</v>
      </c>
      <c r="D3" s="18">
        <v>0</v>
      </c>
      <c r="E3" s="18"/>
    </row>
    <row r="4" spans="1:5" x14ac:dyDescent="0.25">
      <c r="A4" s="24">
        <v>4</v>
      </c>
      <c r="B4" s="6" t="s">
        <v>51</v>
      </c>
      <c r="C4" s="3" t="s">
        <v>14</v>
      </c>
      <c r="D4" s="10"/>
      <c r="E4" s="10"/>
    </row>
    <row r="5" spans="1:5" x14ac:dyDescent="0.25">
      <c r="A5" s="15">
        <v>3</v>
      </c>
      <c r="B5" s="16" t="s">
        <v>52</v>
      </c>
      <c r="C5" s="17" t="s">
        <v>14</v>
      </c>
      <c r="D5" s="18"/>
      <c r="E5" s="18"/>
    </row>
    <row r="6" spans="1:5" x14ac:dyDescent="0.25">
      <c r="A6" s="24">
        <v>2</v>
      </c>
      <c r="B6" s="6" t="s">
        <v>53</v>
      </c>
      <c r="C6" s="3" t="s">
        <v>14</v>
      </c>
      <c r="D6" s="10"/>
      <c r="E6" s="10"/>
    </row>
    <row r="7" spans="1:5" x14ac:dyDescent="0.25">
      <c r="A7" s="15">
        <v>1</v>
      </c>
      <c r="B7" s="16" t="s">
        <v>54</v>
      </c>
      <c r="C7" s="17" t="s">
        <v>14</v>
      </c>
      <c r="D7" s="18">
        <v>0</v>
      </c>
      <c r="E7" s="18"/>
    </row>
    <row r="8" spans="1:5" x14ac:dyDescent="0.25">
      <c r="A8" s="24">
        <v>0</v>
      </c>
      <c r="B8" s="6" t="s">
        <v>55</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5"/>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85</v>
      </c>
      <c r="B3" s="16" t="s">
        <v>2</v>
      </c>
      <c r="C3" s="17" t="s">
        <v>19</v>
      </c>
      <c r="D3" s="18">
        <v>0</v>
      </c>
      <c r="E3" s="18"/>
    </row>
    <row r="4" spans="1:5" x14ac:dyDescent="0.25">
      <c r="A4" s="24" t="s">
        <v>92</v>
      </c>
      <c r="B4" s="6" t="s">
        <v>30</v>
      </c>
      <c r="C4" s="3" t="s">
        <v>14</v>
      </c>
      <c r="D4" s="10">
        <v>0</v>
      </c>
      <c r="E4" s="10"/>
    </row>
    <row r="5" spans="1:5" x14ac:dyDescent="0.25">
      <c r="A5" s="15">
        <v>8</v>
      </c>
      <c r="B5" s="16" t="s">
        <v>94</v>
      </c>
      <c r="C5" s="17" t="s">
        <v>14</v>
      </c>
      <c r="D5" s="18">
        <v>0</v>
      </c>
      <c r="E5" s="18">
        <v>1</v>
      </c>
    </row>
    <row r="6" spans="1:5" x14ac:dyDescent="0.25">
      <c r="A6" s="24" t="s">
        <v>84</v>
      </c>
      <c r="B6" s="6" t="s">
        <v>30</v>
      </c>
      <c r="C6" s="3" t="s">
        <v>14</v>
      </c>
      <c r="D6" s="10">
        <v>0</v>
      </c>
      <c r="E6" s="10"/>
    </row>
    <row r="7" spans="1:5" x14ac:dyDescent="0.25">
      <c r="A7" s="15">
        <v>5</v>
      </c>
      <c r="B7" s="16" t="s">
        <v>93</v>
      </c>
      <c r="C7" s="17" t="s">
        <v>14</v>
      </c>
      <c r="D7" s="18">
        <v>0</v>
      </c>
      <c r="E7" s="18"/>
    </row>
    <row r="8" spans="1:5" x14ac:dyDescent="0.25">
      <c r="A8" s="24">
        <v>4</v>
      </c>
      <c r="B8" s="6" t="s">
        <v>90</v>
      </c>
      <c r="C8" s="3" t="s">
        <v>14</v>
      </c>
      <c r="D8" s="10">
        <v>0</v>
      </c>
      <c r="E8" s="10"/>
    </row>
    <row r="9" spans="1:5" x14ac:dyDescent="0.25">
      <c r="A9" s="15">
        <v>3</v>
      </c>
      <c r="B9" s="16" t="s">
        <v>91</v>
      </c>
      <c r="C9" s="17" t="s">
        <v>14</v>
      </c>
      <c r="D9" s="18">
        <v>0</v>
      </c>
      <c r="E9" s="18"/>
    </row>
    <row r="10" spans="1:5" x14ac:dyDescent="0.25">
      <c r="A10" s="24">
        <v>2</v>
      </c>
      <c r="B10" s="6" t="s">
        <v>59</v>
      </c>
      <c r="C10" s="3" t="s">
        <v>14</v>
      </c>
      <c r="D10" s="10">
        <v>0</v>
      </c>
      <c r="E10" s="10"/>
    </row>
    <row r="11" spans="1:5" ht="65.45" customHeight="1" x14ac:dyDescent="0.25">
      <c r="A11" s="15" t="s">
        <v>58</v>
      </c>
      <c r="B11" s="16" t="s">
        <v>104</v>
      </c>
      <c r="C11" s="17" t="s">
        <v>14</v>
      </c>
      <c r="D11" s="18">
        <v>0</v>
      </c>
      <c r="E11" s="18"/>
    </row>
    <row r="12" spans="1:5" x14ac:dyDescent="0.25">
      <c r="A12" s="25"/>
      <c r="B12" s="4"/>
      <c r="D12" s="22"/>
      <c r="E12" s="22"/>
    </row>
    <row r="14" spans="1:5" x14ac:dyDescent="0.25">
      <c r="B14" s="11" t="s">
        <v>7</v>
      </c>
    </row>
    <row r="15" spans="1:5" ht="29.25" x14ac:dyDescent="0.25">
      <c r="B15" s="29" t="s">
        <v>89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65</v>
      </c>
      <c r="C4" s="3" t="s">
        <v>23</v>
      </c>
      <c r="D4" s="10" t="s">
        <v>67</v>
      </c>
      <c r="E4" s="10"/>
    </row>
    <row r="5" spans="1:5" x14ac:dyDescent="0.25">
      <c r="A5" s="18">
        <v>22</v>
      </c>
      <c r="B5" s="17" t="s">
        <v>77</v>
      </c>
      <c r="C5" s="17" t="s">
        <v>23</v>
      </c>
      <c r="D5" s="18"/>
      <c r="E5" s="18"/>
    </row>
    <row r="6" spans="1:5" x14ac:dyDescent="0.25">
      <c r="A6" s="10">
        <v>21</v>
      </c>
      <c r="B6" s="3" t="s">
        <v>64</v>
      </c>
      <c r="C6" s="3" t="s">
        <v>23</v>
      </c>
      <c r="D6" s="10"/>
      <c r="E6" s="10"/>
    </row>
    <row r="7" spans="1:5" x14ac:dyDescent="0.25">
      <c r="A7" s="18">
        <v>20</v>
      </c>
      <c r="B7" s="17" t="s">
        <v>74</v>
      </c>
      <c r="C7" s="17" t="s">
        <v>23</v>
      </c>
      <c r="D7" s="18"/>
      <c r="E7" s="18"/>
    </row>
    <row r="8" spans="1:5" x14ac:dyDescent="0.25">
      <c r="A8" s="10">
        <v>19</v>
      </c>
      <c r="B8" s="3" t="s">
        <v>75</v>
      </c>
      <c r="C8" s="3" t="s">
        <v>23</v>
      </c>
      <c r="D8" s="10"/>
      <c r="E8" s="10"/>
    </row>
    <row r="9" spans="1:5" ht="75" x14ac:dyDescent="0.25">
      <c r="A9" s="18" t="s">
        <v>168</v>
      </c>
      <c r="B9" s="20" t="s">
        <v>172</v>
      </c>
      <c r="C9" s="17" t="s">
        <v>23</v>
      </c>
      <c r="D9" s="18"/>
      <c r="E9" s="18">
        <v>1</v>
      </c>
    </row>
    <row r="10" spans="1:5" ht="75" x14ac:dyDescent="0.25">
      <c r="A10" s="10" t="s">
        <v>169</v>
      </c>
      <c r="B10" s="19" t="s">
        <v>173</v>
      </c>
      <c r="C10" s="3" t="s">
        <v>23</v>
      </c>
      <c r="D10" s="10"/>
      <c r="E10" s="10">
        <v>1</v>
      </c>
    </row>
    <row r="11" spans="1:5" x14ac:dyDescent="0.25">
      <c r="A11" s="18">
        <v>14</v>
      </c>
      <c r="B11" s="20" t="s">
        <v>76</v>
      </c>
      <c r="C11" s="17"/>
      <c r="D11" s="18"/>
      <c r="E11" s="18">
        <v>1</v>
      </c>
    </row>
    <row r="12" spans="1:5" x14ac:dyDescent="0.25">
      <c r="A12" s="10">
        <v>13</v>
      </c>
      <c r="B12" s="41" t="s">
        <v>170</v>
      </c>
      <c r="C12" s="3" t="s">
        <v>23</v>
      </c>
      <c r="D12" s="10"/>
      <c r="E12" s="10"/>
    </row>
    <row r="13" spans="1:5" x14ac:dyDescent="0.25">
      <c r="A13" s="18">
        <v>12</v>
      </c>
      <c r="B13" s="42" t="s">
        <v>171</v>
      </c>
      <c r="C13" s="17" t="s">
        <v>23</v>
      </c>
      <c r="D13" s="18"/>
      <c r="E13" s="18"/>
    </row>
    <row r="14" spans="1:5" x14ac:dyDescent="0.25">
      <c r="A14" s="43">
        <v>11</v>
      </c>
      <c r="B14" s="44" t="s">
        <v>97</v>
      </c>
      <c r="C14" s="45" t="s">
        <v>23</v>
      </c>
      <c r="D14" s="43"/>
      <c r="E14" s="43"/>
    </row>
    <row r="15" spans="1:5" x14ac:dyDescent="0.25">
      <c r="A15" s="18">
        <v>10</v>
      </c>
      <c r="B15" s="17" t="s">
        <v>96</v>
      </c>
      <c r="C15" s="17" t="s">
        <v>23</v>
      </c>
      <c r="D15" s="18">
        <v>0</v>
      </c>
      <c r="E15" s="18"/>
    </row>
    <row r="16" spans="1:5" x14ac:dyDescent="0.25">
      <c r="A16" s="10">
        <v>9</v>
      </c>
      <c r="B16" s="3" t="s">
        <v>96</v>
      </c>
      <c r="C16" s="3" t="s">
        <v>23</v>
      </c>
      <c r="D16" s="10">
        <v>0</v>
      </c>
      <c r="E16" s="10"/>
    </row>
    <row r="17" spans="1:5" x14ac:dyDescent="0.25">
      <c r="A17" s="18">
        <v>8</v>
      </c>
      <c r="B17" s="17" t="s">
        <v>72</v>
      </c>
      <c r="C17" s="17" t="s">
        <v>23</v>
      </c>
      <c r="D17" s="18">
        <v>0</v>
      </c>
      <c r="E17" s="18"/>
    </row>
    <row r="18" spans="1:5" ht="75" x14ac:dyDescent="0.25">
      <c r="A18" s="10" t="s">
        <v>84</v>
      </c>
      <c r="B18" s="19" t="s">
        <v>164</v>
      </c>
      <c r="C18" s="3" t="s">
        <v>23</v>
      </c>
      <c r="D18" s="10">
        <v>0</v>
      </c>
      <c r="E18" s="10">
        <v>1</v>
      </c>
    </row>
    <row r="19" spans="1:5" ht="90" x14ac:dyDescent="0.25">
      <c r="A19" s="18" t="s">
        <v>165</v>
      </c>
      <c r="B19" s="20" t="s">
        <v>166</v>
      </c>
      <c r="C19" s="17" t="s">
        <v>23</v>
      </c>
      <c r="D19" s="18">
        <v>0</v>
      </c>
      <c r="E19" s="18">
        <v>1</v>
      </c>
    </row>
    <row r="20" spans="1:5" x14ac:dyDescent="0.25">
      <c r="A20" s="10">
        <v>3</v>
      </c>
      <c r="B20" s="19" t="s">
        <v>73</v>
      </c>
      <c r="C20" s="3" t="s">
        <v>23</v>
      </c>
      <c r="D20" s="10">
        <v>0</v>
      </c>
      <c r="E20" s="10">
        <v>1</v>
      </c>
    </row>
    <row r="21" spans="1:5" x14ac:dyDescent="0.25">
      <c r="A21" s="18">
        <v>2</v>
      </c>
      <c r="B21" s="20" t="s">
        <v>96</v>
      </c>
      <c r="C21" s="17" t="s">
        <v>23</v>
      </c>
      <c r="D21" s="18" t="s">
        <v>66</v>
      </c>
      <c r="E21" s="18"/>
    </row>
    <row r="22" spans="1:5" x14ac:dyDescent="0.25">
      <c r="A22" s="10">
        <v>1</v>
      </c>
      <c r="B22" s="19" t="s">
        <v>96</v>
      </c>
      <c r="C22" s="3" t="s">
        <v>23</v>
      </c>
      <c r="D22" s="10">
        <v>0</v>
      </c>
      <c r="E22" s="10"/>
    </row>
    <row r="23" spans="1:5" x14ac:dyDescent="0.25">
      <c r="A23" s="18">
        <v>0</v>
      </c>
      <c r="B23" s="20" t="s">
        <v>96</v>
      </c>
      <c r="C23" s="17" t="s">
        <v>23</v>
      </c>
      <c r="D23" s="18">
        <v>0</v>
      </c>
      <c r="E23" s="18"/>
    </row>
    <row r="25" spans="1:5" x14ac:dyDescent="0.25">
      <c r="B25" s="5" t="s">
        <v>7</v>
      </c>
    </row>
    <row r="26" spans="1:5" ht="30" x14ac:dyDescent="0.25">
      <c r="B26" s="7" t="s">
        <v>167</v>
      </c>
    </row>
    <row r="27" spans="1:5" ht="105" x14ac:dyDescent="0.25">
      <c r="B27" s="7" t="s">
        <v>174</v>
      </c>
    </row>
    <row r="28" spans="1:5" ht="105" x14ac:dyDescent="0.25">
      <c r="B28" s="7" t="s">
        <v>175</v>
      </c>
    </row>
    <row r="29" spans="1:5" ht="105" x14ac:dyDescent="0.25">
      <c r="B29" s="7" t="s">
        <v>176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8"/>
  <sheetViews>
    <sheetView workbookViewId="0"/>
  </sheetViews>
  <sheetFormatPr defaultRowHeight="15" x14ac:dyDescent="0.25"/>
  <cols>
    <col min="1" max="1" width="11.140625" style="1" customWidth="1"/>
    <col min="2" max="2" width="91.42578125" customWidth="1"/>
    <col min="3" max="3" width="15.5703125" customWidth="1"/>
    <col min="4" max="4" width="14.28515625" customWidth="1"/>
    <col min="5" max="5" width="11.42578125" customWidth="1"/>
  </cols>
  <sheetData>
    <row r="2" spans="1:5" x14ac:dyDescent="0.25">
      <c r="A2" s="14" t="s">
        <v>0</v>
      </c>
      <c r="B2" s="14" t="s">
        <v>1</v>
      </c>
      <c r="C2" s="14" t="s">
        <v>20</v>
      </c>
      <c r="D2" s="12" t="s">
        <v>21</v>
      </c>
      <c r="E2" s="12" t="s">
        <v>22</v>
      </c>
    </row>
    <row r="3" spans="1:5" x14ac:dyDescent="0.25">
      <c r="A3" s="18" t="s">
        <v>69</v>
      </c>
      <c r="B3" s="20" t="s">
        <v>2</v>
      </c>
      <c r="C3" s="17"/>
      <c r="D3" s="18"/>
      <c r="E3" s="18"/>
    </row>
    <row r="4" spans="1:5" x14ac:dyDescent="0.25">
      <c r="A4" s="10" t="s">
        <v>68</v>
      </c>
      <c r="B4" s="3" t="s">
        <v>118</v>
      </c>
      <c r="C4" s="3" t="s">
        <v>23</v>
      </c>
      <c r="D4" s="10">
        <v>0</v>
      </c>
      <c r="E4" s="3">
        <v>1</v>
      </c>
    </row>
    <row r="6" spans="1:5" x14ac:dyDescent="0.25">
      <c r="B6" s="8" t="s">
        <v>7</v>
      </c>
    </row>
    <row r="7" spans="1:5" ht="57" x14ac:dyDescent="0.25">
      <c r="B7" s="27" t="s">
        <v>145</v>
      </c>
    </row>
    <row r="8" spans="1:5" ht="49.5" customHeight="1" x14ac:dyDescent="0.25">
      <c r="B8" s="28" t="s">
        <v>119</v>
      </c>
    </row>
    <row r="9" spans="1:5" ht="35.25" customHeight="1" x14ac:dyDescent="0.25"/>
    <row r="10" spans="1:5" x14ac:dyDescent="0.25">
      <c r="B10" s="26" t="s">
        <v>135</v>
      </c>
      <c r="C10" s="1">
        <v>20</v>
      </c>
      <c r="D10" t="s">
        <v>120</v>
      </c>
    </row>
    <row r="12" spans="1:5" x14ac:dyDescent="0.25">
      <c r="C12" s="47" t="s">
        <v>121</v>
      </c>
      <c r="D12" s="47"/>
      <c r="E12" s="32"/>
    </row>
    <row r="13" spans="1:5" x14ac:dyDescent="0.25">
      <c r="C13" s="33" t="s">
        <v>124</v>
      </c>
      <c r="D13" s="34">
        <v>103</v>
      </c>
      <c r="E13" s="32" t="s">
        <v>126</v>
      </c>
    </row>
    <row r="14" spans="1:5" x14ac:dyDescent="0.25">
      <c r="C14" s="33" t="s">
        <v>123</v>
      </c>
      <c r="D14" s="35">
        <f>ROUND((D13*C10)/1000,0)</f>
        <v>2</v>
      </c>
      <c r="E14" s="32"/>
    </row>
    <row r="15" spans="1:5" x14ac:dyDescent="0.25">
      <c r="C15" s="33" t="s">
        <v>125</v>
      </c>
      <c r="D15" s="36">
        <f>(D14/C10)*1000</f>
        <v>100</v>
      </c>
      <c r="E15" s="32" t="s">
        <v>126</v>
      </c>
    </row>
    <row r="16" spans="1:5" x14ac:dyDescent="0.25">
      <c r="C16" s="32"/>
      <c r="D16" s="32"/>
      <c r="E16" s="32"/>
    </row>
    <row r="17" spans="2:5" x14ac:dyDescent="0.25">
      <c r="C17" s="33" t="s">
        <v>123</v>
      </c>
      <c r="D17" s="34">
        <v>2</v>
      </c>
      <c r="E17" s="32"/>
    </row>
    <row r="18" spans="2:5" x14ac:dyDescent="0.25">
      <c r="C18" s="33" t="s">
        <v>127</v>
      </c>
      <c r="D18" s="36">
        <f>(D17/C10)*1000</f>
        <v>100</v>
      </c>
      <c r="E18" s="32" t="s">
        <v>126</v>
      </c>
    </row>
    <row r="20" spans="2:5" x14ac:dyDescent="0.25">
      <c r="B20" s="26" t="s">
        <v>134</v>
      </c>
      <c r="C20" s="1">
        <v>0.98357099999999997</v>
      </c>
      <c r="D20" t="s">
        <v>131</v>
      </c>
    </row>
    <row r="21" spans="2:5" x14ac:dyDescent="0.25">
      <c r="B21" s="26" t="s">
        <v>133</v>
      </c>
      <c r="C21" s="37">
        <f>0.64*C20</f>
        <v>0.62948543999999995</v>
      </c>
      <c r="D21" t="s">
        <v>131</v>
      </c>
    </row>
    <row r="22" spans="2:5" x14ac:dyDescent="0.25">
      <c r="B22" s="26"/>
    </row>
    <row r="23" spans="2:5" x14ac:dyDescent="0.25">
      <c r="C23" s="47" t="s">
        <v>128</v>
      </c>
      <c r="D23" s="47"/>
      <c r="E23" s="32"/>
    </row>
    <row r="24" spans="2:5" x14ac:dyDescent="0.25">
      <c r="C24" s="33" t="s">
        <v>129</v>
      </c>
      <c r="D24" s="34">
        <v>65</v>
      </c>
      <c r="E24" s="32" t="s">
        <v>130</v>
      </c>
    </row>
    <row r="25" spans="2:5" x14ac:dyDescent="0.25">
      <c r="C25" s="33" t="s">
        <v>127</v>
      </c>
      <c r="D25" s="38">
        <f>(D24/C21)</f>
        <v>103.2589411440557</v>
      </c>
      <c r="E25" s="32" t="s">
        <v>126</v>
      </c>
    </row>
    <row r="26" spans="2:5" x14ac:dyDescent="0.25">
      <c r="C26" s="32"/>
      <c r="D26" s="32"/>
      <c r="E26" s="32"/>
    </row>
    <row r="27" spans="2:5" x14ac:dyDescent="0.25">
      <c r="C27" s="33" t="s">
        <v>129</v>
      </c>
      <c r="D27" s="34">
        <v>20</v>
      </c>
      <c r="E27" s="32" t="s">
        <v>132</v>
      </c>
    </row>
    <row r="28" spans="2:5" x14ac:dyDescent="0.25">
      <c r="C28" s="33" t="s">
        <v>127</v>
      </c>
      <c r="D28" s="38">
        <f>D27/(C21/3.28084)</f>
        <v>104.23878906555807</v>
      </c>
      <c r="E28" s="32" t="s">
        <v>126</v>
      </c>
    </row>
  </sheetData>
  <mergeCells count="2">
    <mergeCell ref="C12:D12"/>
    <mergeCell ref="C23:D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113</v>
      </c>
      <c r="B3" s="20" t="s">
        <v>2</v>
      </c>
      <c r="C3" s="17" t="s">
        <v>23</v>
      </c>
      <c r="D3" s="18"/>
      <c r="E3" s="18"/>
    </row>
    <row r="4" spans="1:5" x14ac:dyDescent="0.25">
      <c r="A4" s="10">
        <v>3</v>
      </c>
      <c r="B4" s="19" t="s">
        <v>112</v>
      </c>
      <c r="C4" s="3" t="s">
        <v>23</v>
      </c>
      <c r="D4" s="10">
        <v>0</v>
      </c>
      <c r="E4" s="10"/>
    </row>
    <row r="5" spans="1:5" x14ac:dyDescent="0.25">
      <c r="A5" s="18">
        <v>2</v>
      </c>
      <c r="B5" s="20" t="s">
        <v>112</v>
      </c>
      <c r="C5" s="17" t="s">
        <v>23</v>
      </c>
      <c r="D5" s="18">
        <v>0</v>
      </c>
      <c r="E5" s="18"/>
    </row>
    <row r="6" spans="1:5" x14ac:dyDescent="0.25">
      <c r="A6" s="10">
        <v>1</v>
      </c>
      <c r="B6" s="19" t="s">
        <v>111</v>
      </c>
      <c r="C6" s="3" t="s">
        <v>23</v>
      </c>
      <c r="D6" s="10">
        <v>0</v>
      </c>
      <c r="E6" s="10">
        <v>1</v>
      </c>
    </row>
    <row r="7" spans="1:5" x14ac:dyDescent="0.25">
      <c r="A7" s="18">
        <v>0</v>
      </c>
      <c r="B7" s="17" t="s">
        <v>114</v>
      </c>
      <c r="C7" s="17" t="s">
        <v>23</v>
      </c>
      <c r="D7" s="18">
        <v>0</v>
      </c>
      <c r="E7" s="18">
        <v>1</v>
      </c>
    </row>
    <row r="9" spans="1:5" x14ac:dyDescent="0.25">
      <c r="B9" s="8" t="s">
        <v>7</v>
      </c>
    </row>
    <row r="10" spans="1:5" x14ac:dyDescent="0.25">
      <c r="B10" s="29" t="s">
        <v>115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57.75" x14ac:dyDescent="0.25">
      <c r="B7" s="29" t="s">
        <v>146</v>
      </c>
    </row>
    <row r="8" spans="1:5" ht="39.75" customHeight="1" x14ac:dyDescent="0.25"/>
    <row r="9" spans="1:5" x14ac:dyDescent="0.25">
      <c r="B9" s="7" t="s">
        <v>27</v>
      </c>
    </row>
    <row r="10" spans="1:5" ht="36" customHeight="1" x14ac:dyDescent="0.25"/>
    <row r="11" spans="1:5" x14ac:dyDescent="0.25">
      <c r="B11" s="39" t="s">
        <v>151</v>
      </c>
      <c r="C11" s="1">
        <v>16</v>
      </c>
    </row>
    <row r="12" spans="1:5" ht="16.5" customHeight="1" x14ac:dyDescent="0.25">
      <c r="C12" s="47" t="s">
        <v>147</v>
      </c>
      <c r="D12" s="47"/>
      <c r="E12" s="32"/>
    </row>
    <row r="13" spans="1:5" x14ac:dyDescent="0.25">
      <c r="C13" s="33" t="s">
        <v>148</v>
      </c>
      <c r="D13" s="34">
        <v>40000</v>
      </c>
      <c r="E13" s="32" t="s">
        <v>152</v>
      </c>
    </row>
    <row r="14" spans="1:5" x14ac:dyDescent="0.25">
      <c r="C14" s="33" t="s">
        <v>149</v>
      </c>
      <c r="D14" s="35">
        <f>((D13*509.3140064)/(2^C11))-280.2308787</f>
        <v>30.62972090937501</v>
      </c>
      <c r="E14" s="32" t="s">
        <v>150</v>
      </c>
    </row>
    <row r="16" spans="1:5" x14ac:dyDescent="0.25">
      <c r="C16" s="33" t="s">
        <v>153</v>
      </c>
      <c r="D16" s="34" t="s">
        <v>155</v>
      </c>
      <c r="E16" s="32" t="s">
        <v>154</v>
      </c>
    </row>
    <row r="17" spans="3:5" x14ac:dyDescent="0.25">
      <c r="C17" s="33" t="s">
        <v>149</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78.75" customHeight="1" x14ac:dyDescent="0.25">
      <c r="B7" s="29" t="s">
        <v>47</v>
      </c>
    </row>
    <row r="8" spans="1:5" ht="39.75" customHeight="1" x14ac:dyDescent="0.25"/>
    <row r="9" spans="1:5" x14ac:dyDescent="0.25">
      <c r="B9" s="7" t="s">
        <v>48</v>
      </c>
    </row>
    <row r="10" spans="1:5" ht="36" customHeight="1" x14ac:dyDescent="0.25"/>
    <row r="11" spans="1:5" ht="16.5" customHeight="1" x14ac:dyDescent="0.25"/>
    <row r="12" spans="1:5" x14ac:dyDescent="0.25">
      <c r="B12" s="39" t="s">
        <v>151</v>
      </c>
      <c r="C12" s="1">
        <v>16</v>
      </c>
      <c r="D12" s="32"/>
      <c r="E12" s="32"/>
    </row>
    <row r="13" spans="1:5" x14ac:dyDescent="0.25">
      <c r="B13" s="32"/>
      <c r="C13" s="47" t="s">
        <v>156</v>
      </c>
      <c r="D13" s="47"/>
      <c r="E13" s="32"/>
    </row>
    <row r="14" spans="1:5" x14ac:dyDescent="0.25">
      <c r="B14" s="32"/>
      <c r="C14" s="33" t="s">
        <v>148</v>
      </c>
      <c r="D14" s="34">
        <v>40000</v>
      </c>
      <c r="E14" s="32" t="s">
        <v>152</v>
      </c>
    </row>
    <row r="15" spans="1:5" x14ac:dyDescent="0.25">
      <c r="B15" s="32"/>
      <c r="C15" s="33" t="s">
        <v>157</v>
      </c>
      <c r="D15" s="35">
        <f>(D14/(2^C12))*3</f>
        <v>1.8310546875</v>
      </c>
      <c r="E15" s="32" t="s">
        <v>158</v>
      </c>
    </row>
    <row r="16" spans="1:5" x14ac:dyDescent="0.25">
      <c r="B16" s="32"/>
    </row>
    <row r="17" spans="2:5" x14ac:dyDescent="0.25">
      <c r="B17" s="32"/>
      <c r="C17" s="33" t="s">
        <v>153</v>
      </c>
      <c r="D17" s="34" t="s">
        <v>155</v>
      </c>
      <c r="E17" s="32" t="s">
        <v>154</v>
      </c>
    </row>
    <row r="18" spans="2:5" x14ac:dyDescent="0.25">
      <c r="B18" s="32"/>
      <c r="C18" s="33" t="s">
        <v>157</v>
      </c>
      <c r="D18" s="35">
        <f>(HEX2DEC(D17)/(2^C12))*3</f>
        <v>1.8310546875</v>
      </c>
      <c r="E18" s="32" t="s">
        <v>158</v>
      </c>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sheetData>
  <mergeCells count="1">
    <mergeCell ref="C13:D13"/>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83</v>
      </c>
      <c r="B3" s="16" t="s">
        <v>2</v>
      </c>
      <c r="C3" s="17"/>
      <c r="D3" s="18"/>
      <c r="E3" s="18"/>
    </row>
    <row r="4" spans="1:5" ht="15" customHeight="1" x14ac:dyDescent="0.25">
      <c r="A4" s="24">
        <v>23</v>
      </c>
      <c r="B4" s="6" t="s">
        <v>82</v>
      </c>
      <c r="C4" s="3" t="s">
        <v>23</v>
      </c>
      <c r="D4" s="10">
        <v>0</v>
      </c>
      <c r="E4" s="10"/>
    </row>
    <row r="5" spans="1:5" ht="15" customHeight="1" x14ac:dyDescent="0.25">
      <c r="A5" s="15">
        <v>22</v>
      </c>
      <c r="B5" s="16" t="s">
        <v>182</v>
      </c>
      <c r="C5" s="17" t="s">
        <v>23</v>
      </c>
      <c r="D5" s="18">
        <v>0</v>
      </c>
      <c r="E5" s="18">
        <v>1</v>
      </c>
    </row>
    <row r="6" spans="1:5" ht="96.75" customHeight="1" x14ac:dyDescent="0.25">
      <c r="A6" s="24" t="s">
        <v>81</v>
      </c>
      <c r="B6" s="6" t="s">
        <v>183</v>
      </c>
      <c r="C6" s="3" t="s">
        <v>23</v>
      </c>
      <c r="D6" s="10">
        <v>0</v>
      </c>
      <c r="E6" s="10"/>
    </row>
    <row r="7" spans="1:5" ht="15" customHeight="1" x14ac:dyDescent="0.25">
      <c r="A7" s="15" t="s">
        <v>79</v>
      </c>
      <c r="B7" s="16" t="s">
        <v>80</v>
      </c>
      <c r="C7" s="17" t="s">
        <v>23</v>
      </c>
      <c r="D7" s="18">
        <v>0</v>
      </c>
      <c r="E7" s="18"/>
    </row>
    <row r="8" spans="1:5" ht="15" customHeight="1" x14ac:dyDescent="0.25">
      <c r="A8" s="24" t="s">
        <v>84</v>
      </c>
      <c r="B8" s="6" t="s">
        <v>87</v>
      </c>
      <c r="C8" s="3" t="s">
        <v>23</v>
      </c>
      <c r="D8" s="10">
        <v>0</v>
      </c>
      <c r="E8" s="10"/>
    </row>
    <row r="9" spans="1:5" ht="15" customHeight="1" x14ac:dyDescent="0.25">
      <c r="A9" s="15" t="s">
        <v>86</v>
      </c>
      <c r="B9" s="16" t="s">
        <v>88</v>
      </c>
      <c r="C9" s="17" t="s">
        <v>23</v>
      </c>
      <c r="D9" s="18">
        <v>0</v>
      </c>
      <c r="E9" s="18"/>
    </row>
    <row r="10" spans="1:5" ht="15" customHeight="1" x14ac:dyDescent="0.25">
      <c r="A10" s="24">
        <v>1</v>
      </c>
      <c r="B10" s="6" t="s">
        <v>117</v>
      </c>
      <c r="C10" s="3" t="s">
        <v>23</v>
      </c>
      <c r="D10" s="10">
        <v>0</v>
      </c>
      <c r="E10" s="10">
        <v>1</v>
      </c>
    </row>
    <row r="11" spans="1:5" ht="15" customHeight="1" x14ac:dyDescent="0.25">
      <c r="A11" s="15">
        <v>0</v>
      </c>
      <c r="B11" s="16" t="s">
        <v>78</v>
      </c>
      <c r="C11" s="17" t="s">
        <v>23</v>
      </c>
      <c r="D11" s="18">
        <v>0</v>
      </c>
      <c r="E11" s="18"/>
    </row>
    <row r="12" spans="1:5" ht="15" customHeight="1" x14ac:dyDescent="0.25">
      <c r="A12" s="25"/>
      <c r="B12" s="4"/>
      <c r="D12" s="22"/>
      <c r="E12" s="22"/>
    </row>
    <row r="14" spans="1:5" x14ac:dyDescent="0.25">
      <c r="B14" s="11" t="s">
        <v>7</v>
      </c>
    </row>
    <row r="15" spans="1:5" ht="25.5" x14ac:dyDescent="0.25">
      <c r="B15" s="4" t="s">
        <v>159</v>
      </c>
    </row>
    <row r="16" spans="1:5" x14ac:dyDescent="0.25">
      <c r="B16" s="7"/>
    </row>
    <row r="17" spans="2:2" x14ac:dyDescent="0.25">
      <c r="B17" s="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50</v>
      </c>
      <c r="B3" s="20" t="s">
        <v>2</v>
      </c>
      <c r="C3" s="17" t="s">
        <v>19</v>
      </c>
      <c r="D3" s="18"/>
      <c r="E3" s="18"/>
    </row>
    <row r="4" spans="1:5" x14ac:dyDescent="0.25">
      <c r="A4" s="10" t="s">
        <v>70</v>
      </c>
      <c r="B4" s="3" t="s">
        <v>136</v>
      </c>
      <c r="C4" s="3" t="s">
        <v>23</v>
      </c>
      <c r="D4" s="10">
        <v>0</v>
      </c>
      <c r="E4" s="10" t="s">
        <v>71</v>
      </c>
    </row>
    <row r="6" spans="1:5" x14ac:dyDescent="0.25">
      <c r="B6" s="8" t="s">
        <v>7</v>
      </c>
    </row>
    <row r="7" spans="1:5" ht="29.25" x14ac:dyDescent="0.25">
      <c r="B7" s="29" t="s">
        <v>137</v>
      </c>
    </row>
    <row r="8" spans="1:5" ht="29.25" x14ac:dyDescent="0.25">
      <c r="B8" s="29" t="s">
        <v>138</v>
      </c>
    </row>
    <row r="9" spans="1:5" ht="49.5" customHeight="1" x14ac:dyDescent="0.25"/>
    <row r="10" spans="1:5" x14ac:dyDescent="0.25">
      <c r="B10" s="39" t="s">
        <v>139</v>
      </c>
      <c r="C10" s="32">
        <v>100</v>
      </c>
      <c r="D10" s="32" t="s">
        <v>120</v>
      </c>
      <c r="E10" s="32"/>
    </row>
    <row r="11" spans="1:5" x14ac:dyDescent="0.25">
      <c r="B11" s="32"/>
      <c r="C11" s="32"/>
      <c r="D11" s="32"/>
      <c r="E11" s="32"/>
    </row>
    <row r="12" spans="1:5" x14ac:dyDescent="0.25">
      <c r="B12" s="32"/>
      <c r="C12" s="47" t="s">
        <v>140</v>
      </c>
      <c r="D12" s="47"/>
      <c r="E12" s="32"/>
    </row>
    <row r="13" spans="1:5" x14ac:dyDescent="0.25">
      <c r="B13" s="32"/>
      <c r="C13" s="33" t="s">
        <v>124</v>
      </c>
      <c r="D13" s="34">
        <v>50</v>
      </c>
      <c r="E13" s="32" t="s">
        <v>126</v>
      </c>
    </row>
    <row r="14" spans="1:5" x14ac:dyDescent="0.25">
      <c r="B14" s="32"/>
      <c r="C14" s="33" t="s">
        <v>123</v>
      </c>
      <c r="D14" s="35">
        <f>ROUND((D13*C10)/1000,0)</f>
        <v>5</v>
      </c>
      <c r="E14" s="32"/>
    </row>
    <row r="15" spans="1:5" x14ac:dyDescent="0.25">
      <c r="B15" s="32"/>
      <c r="C15" s="33" t="s">
        <v>125</v>
      </c>
      <c r="D15" s="36">
        <f>(D14/C10)*1000</f>
        <v>50</v>
      </c>
      <c r="E15" s="32" t="s">
        <v>126</v>
      </c>
    </row>
    <row r="16" spans="1:5" x14ac:dyDescent="0.25">
      <c r="B16" s="32"/>
      <c r="C16" s="32"/>
      <c r="D16" s="32"/>
      <c r="E16" s="32"/>
    </row>
    <row r="17" spans="2:5" x14ac:dyDescent="0.25">
      <c r="B17" s="32"/>
      <c r="C17" s="32"/>
      <c r="D17" s="32"/>
      <c r="E17" s="32"/>
    </row>
    <row r="18" spans="2:5" x14ac:dyDescent="0.25">
      <c r="B18" s="32"/>
      <c r="C18" s="32"/>
      <c r="D18" s="32"/>
      <c r="E18" s="32"/>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row r="24" spans="2:5" x14ac:dyDescent="0.25">
      <c r="B24" s="32"/>
      <c r="C24" s="32"/>
      <c r="D24" s="32"/>
      <c r="E24" s="32"/>
    </row>
    <row r="25" spans="2:5" x14ac:dyDescent="0.25">
      <c r="B25" s="32"/>
      <c r="C25" s="32"/>
      <c r="D25" s="32"/>
      <c r="E25" s="32"/>
    </row>
    <row r="26" spans="2:5" x14ac:dyDescent="0.25">
      <c r="B26" s="32"/>
      <c r="C26" s="32"/>
      <c r="D26" s="32"/>
      <c r="E26" s="32"/>
    </row>
    <row r="27" spans="2:5" x14ac:dyDescent="0.25">
      <c r="B27" s="32"/>
      <c r="C27" s="32"/>
      <c r="D27" s="32"/>
      <c r="E27" s="32"/>
    </row>
    <row r="28" spans="2:5" x14ac:dyDescent="0.25">
      <c r="B28" s="32"/>
      <c r="C28" s="32"/>
      <c r="D28" s="32"/>
      <c r="E28" s="32"/>
    </row>
    <row r="29" spans="2:5" x14ac:dyDescent="0.2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Memory Map</vt:lpstr>
      <vt:lpstr>FW Revision</vt:lpstr>
      <vt:lpstr>Overall Status</vt:lpstr>
      <vt:lpstr>Main Control</vt:lpstr>
      <vt:lpstr>Ksine</vt:lpstr>
      <vt:lpstr>ATB_SW</vt:lpstr>
      <vt:lpstr>Scan_Limit_Result</vt:lpstr>
      <vt:lpstr>System_Status</vt:lpstr>
      <vt:lpstr>SWCR Status Bits</vt:lpstr>
      <vt:lpstr>Cable Delay</vt:lpstr>
      <vt:lpstr>ARM Status</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2025-12-24T20:53:32Z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