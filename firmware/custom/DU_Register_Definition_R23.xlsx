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491C690B-884A-4D5C-90A4-147207F2F646}"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DU_SW" sheetId="33" r:id="rId6"/>
    <sheet name="Scan_Limit_Result" sheetId="42" r:id="rId7"/>
    <sheet name="System_Status" sheetId="43" r:id="rId8"/>
    <sheet name="SWCR Status Bits" sheetId="44" r:id="rId9"/>
    <sheet name="ARM Status" sheetId="48" r:id="rId10"/>
    <sheet name="DCU Enable" sheetId="49" r:id="rId11"/>
    <sheet name="Start Delay SPI Reaback" sheetId="45" r:id="rId12"/>
    <sheet name="Read Delay After RLTD" sheetId="50" r:id="rId13"/>
    <sheet name="Addres for RLTD Log" sheetId="51" r:id="rId14"/>
    <sheet name="Data From RLTD Log" sheetId="52" r:id="rId15"/>
    <sheet name="Transaction Time" sheetId="53" r:id="rId16"/>
    <sheet name="Die Temperature" sheetId="27" r:id="rId17"/>
    <sheet name="Voltage" sheetId="41" r:id="rId18"/>
    <sheet name="Diagnostic R-W" sheetId="14" r:id="rId19"/>
    <sheet name="DCU Status" sheetId="47" r:id="rId20"/>
    <sheet name="SPI Read Clk Delay" sheetId="46"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53" l="1"/>
  <c r="D13" i="52"/>
  <c r="D14" i="50"/>
  <c r="E22" i="45"/>
  <c r="D15" i="50" l="1"/>
  <c r="D18" i="41"/>
  <c r="D15" i="41"/>
  <c r="D17" i="27"/>
  <c r="D14" i="27"/>
  <c r="D15" i="46"/>
  <c r="D14" i="46"/>
  <c r="C12" i="45"/>
  <c r="C3" i="2"/>
  <c r="B4" i="2"/>
  <c r="B5" i="2" s="1"/>
  <c r="D16" i="45" l="1"/>
  <c r="D19" i="45" s="1"/>
  <c r="D21" i="45" s="1"/>
  <c r="D22" i="45" s="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<sst xmlns="http://schemas.openxmlformats.org/spreadsheetml/2006/main" count="854" uniqueCount="229">
  <si>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</si>
  <si>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</si>
  <si>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</si>
  <si>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</si>
  <si>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</si>
  <si>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</si>
  <si>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</si>
  <si>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</si>
  <si>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</si>
  <si>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</si>
  <si>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</si>
  <si>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</si>
  <si>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</si>
  <si>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</si>
  <si>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</si>
  <si>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</si>
  <si>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</si>
  <si>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</si>
  <si>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</si>
  <si>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</si>
  <si>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</si>
  <si>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</si>
  <si>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</si>
  <si>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</si>
  <si>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</si>
  <si>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</si>
  <si>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</si>
  <si>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</si>
  <si>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</si>
  <si>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</si>
  <si>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</si>
  <si>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</si>
  <si>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</si>
  <si>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</si>
  <si>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</si>
  <si>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</si>
  <si>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VCCINT Voltage</t>
  </si>
  <si>
    <t>High Temperature alarm</t>
  </si>
  <si>
    <t>VCCINT Alarm</t>
  </si>
  <si>
    <t>VCCAUX Alarm</t>
  </si>
  <si>
    <t>VBRAM Alarm</t>
  </si>
  <si>
    <t>Soft reset.  When toggled from 0 --&gt; 1 several data registers and state machines will be reset. Must be set back to 0 to restart.</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</si>
  <si>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</si>
  <si>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</si>
  <si>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</si>
  <si>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</si>
  <si>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</si>
  <si>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</si>
  <si>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</si>
  <si>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</si>
  <si>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</si>
  <si>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</si>
  <si>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</si>
  <si>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</si>
  <si>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</si>
  <si>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</si>
  <si>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</si>
  <si>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</si>
  <si>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</si>
  <si>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</si>
  <si>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</si>
  <si>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</si>
  <si>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0x00</t>
  </si>
  <si>
    <t>5..0</t>
  </si>
  <si>
    <t>31..6</t>
  </si>
  <si>
    <t>4..0</t>
  </si>
  <si>
    <t>1, 2</t>
  </si>
  <si>
    <t>Overall SWCR Status</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</si>
  <si>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</si>
  <si>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</si>
  <si>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</si>
  <si>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</si>
  <si>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</si>
  <si>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</si>
  <si>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</si>
  <si>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</si>
  <si>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</si>
  <si>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</si>
  <si>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</si>
  <si>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</si>
  <si>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</si>
  <si>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</si>
  <si>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</si>
  <si>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</si>
  <si>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Off-Line Test Enable: 0=Not enabled 1=Enabled</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</si>
  <si>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</si>
  <si>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</si>
  <si>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</si>
  <si>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</si>
  <si>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</si>
  <si>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</si>
  <si>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</si>
  <si>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</si>
  <si>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</si>
  <si>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</si>
  <si>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</si>
  <si>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</si>
  <si>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</si>
  <si>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</si>
  <si>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</si>
  <si>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</si>
  <si>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</si>
  <si>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</si>
  <si>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</si>
  <si>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</si>
  <si>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</si>
  <si>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DCU Type: 0=Alpha, 1=Beta</t>
  </si>
  <si>
    <t>Delay before SPI read starts after a SPI write begins.</t>
  </si>
  <si>
    <t>MHz</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</si>
  <si>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</si>
  <si>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</si>
  <si>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</si>
  <si>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</si>
  <si>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</si>
  <si>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</si>
  <si>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</si>
  <si>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</si>
  <si>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</si>
  <si>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</si>
  <si>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 xml:space="preserve"> Cable Delay (64% the speed of light for CAT-5) =</t>
  </si>
  <si>
    <t xml:space="preserve"> Speed of Light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</si>
  <si>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</si>
  <si>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</si>
  <si>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</si>
  <si>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</si>
  <si>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</si>
  <si>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</si>
  <si>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</si>
  <si>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</si>
  <si>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</si>
  <si>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</si>
  <si>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</si>
  <si>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</si>
  <si>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</si>
  <si>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</si>
  <si>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</si>
  <si>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</si>
  <si>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</si>
  <si>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</si>
  <si>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</si>
  <si>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</si>
  <si>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</si>
  <si>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</si>
  <si>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</si>
  <si>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</si>
  <si>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</si>
  <si>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</si>
  <si>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</si>
  <si>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</si>
  <si>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</si>
  <si>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</si>
  <si>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</si>
  <si>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</si>
  <si>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</si>
  <si>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</si>
  <si>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</si>
  <si>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</si>
  <si>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</si>
  <si>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</si>
  <si>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</si>
  <si>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Shutdown Command: 0=Normal Operation, 1=Shutdown</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</si>
  <si>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</si>
  <si>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</si>
  <si>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</si>
  <si>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7..0</t>
  </si>
  <si>
    <t>DCU Number</t>
  </si>
  <si>
    <t>Not used</t>
  </si>
  <si>
    <t>1. This register is used to determine which DCUs will be checked in roll up status for CRC error and compare.  NOTICE: The compare bit is for depot level diagnostics only.</t>
  </si>
  <si>
    <t>2. Setting this register to zero enables all DCUs</t>
  </si>
  <si>
    <t>30..8</t>
  </si>
  <si>
    <t>Reset all DCUs to disabled</t>
  </si>
  <si>
    <t>3. Once a number is set it will saved as enabled unless the disable all bit (bit-31) is set high.  Since the default will be all DCUs enabled at power up a reset must be done before enabling only specific DCUs</t>
  </si>
  <si>
    <t>DCU Enable (only effects roll up status bits)</t>
  </si>
  <si>
    <t>17..16</t>
  </si>
  <si>
    <t>19..18</t>
  </si>
  <si>
    <r>
      <t xml:space="preserve">Scan Limit Calculation Center Frequency Select:
</t>
    </r>
    <r>
      <rPr>
        <sz val="10"/>
        <color theme="1"/>
        <rFont val="Courier New"/>
        <family val="3"/>
      </rPr>
      <t>00 = 442MHz
01 = 444MHz
10 = 445MHz
11 = 446MHz</t>
    </r>
  </si>
  <si>
    <t>Compare Result: 1 = SWC &amp; SWCR the same 0 = SWC &amp; SWCR Different</t>
  </si>
  <si>
    <r>
      <t xml:space="preserve">DCU Command: Some commands from this register are only used in specific modes. See notes.
</t>
    </r>
    <r>
      <rPr>
        <sz val="10"/>
        <color theme="1"/>
        <rFont val="Courier New"/>
        <family val="3"/>
      </rPr>
      <t>000 = None        100 = Reset DCU
001 = Borsite     101 = Test Pattern Read Back
010 = Calibration 110 = Future Use
011 = CRC Reset   111 = Future Use</t>
    </r>
  </si>
  <si>
    <t>DCU Read Back Status: 1=Good  0=Error</t>
  </si>
  <si>
    <t>DCU BIT: 1=BIT Passed 0=BIT Failed.  Need to review the individual DCU read backs to find failure.</t>
  </si>
  <si>
    <t>[1]: This is a rolled up status for all 76 connected DCUs.  It is updated every transaction.  Any "Enabled" DCU with a CRC error will make this bit 0.</t>
  </si>
  <si>
    <t>[2]: lThis is a rolled up status for all 76 DCUs.  The result is always one transaction behind but updated every transaction.  Any "Enabled" DCU with a compare error will this bit 0. Note any DCU in the SWCR mode will always report the compare bit as '1' (good)</t>
  </si>
  <si>
    <t>[3]: lThis is a rolled up status for all 76 DCUs. Each read back is checked.  If the read back is all ones or all zeros the bit set to 0 to indicated a communications error.  The most likely  cause is that the DCU is not connected (all ones) or there is an LVDS driver issue (all zeros).  This bit is checked and updated every transaction. Only "Enabled" DCU are checked.</t>
  </si>
  <si>
    <t>[4]: lThis is a rolled up status for all 76 DCUs. The Overal BIT status of each DCU is checked.  If any of their status failes this bit will be 0.</t>
  </si>
  <si>
    <t>Start Delay for SPI Read Back Fanout Baord 1</t>
  </si>
  <si>
    <t>Start Delay for SPI Read Back Fanout Baord 2</t>
  </si>
  <si>
    <t>Start Delay for SPI Read Back Fanout Baord 3</t>
  </si>
  <si>
    <t>Start Delay for SPI Read Back Fanout Baord 4</t>
  </si>
  <si>
    <t xml:space="preserve"> Where System Clock  Frequency =</t>
  </si>
  <si>
    <t>Cable Delay</t>
  </si>
  <si>
    <t>Fixed Delay</t>
  </si>
  <si>
    <t>Delay Required</t>
  </si>
  <si>
    <t>Register Value</t>
  </si>
  <si>
    <t>Delay Estimator</t>
  </si>
  <si>
    <t>[2] This delay is defined in number of system clocks. The calculator below can be used as a guide for an initial starting point for different cable lengths.  However the SPI clock delay may still need to be adjusted for proper read back.</t>
  </si>
  <si>
    <t>[1] This delay is used to account for the round trip delay for SPI Read Back data (MISO signal).  The delays include component delays, trace delays, digital filter delays, and CAT-5 cable length.  The cable delay is the dominate factor with other delays being within a +/-15ns margin for all boards and SPI channels. In Addition, all Alpha cables and all beta cables will be the same length (but Alpha and Beta lengths will be different).  This allows for a single start delay to be applied to all 152 SPI channels per DU.</t>
  </si>
  <si>
    <t>Test Mode (ATB Swtich): 0 = Online, 1=Offline.  Only applicaple when in "Force Test"</t>
  </si>
  <si>
    <t>Offline-Test-Enable (OLTE SC): 0 = Online, 1=Offline.  Only applicaple when in "Force Test"</t>
  </si>
  <si>
    <t>[1] This register is used to check if the ARM is running.  After the ARM has booted and written to this register, a 10 seoncd counter will start.  If this register is written to it will reset the counter.  If the counter reaches 10-seconds it is assumed the application is not running and the bottom right LED will be turnned off.</t>
  </si>
  <si>
    <t>Clear /RLTD Log: Toggling this bit from 0 to 1 will clear the log values from block RAM</t>
  </si>
  <si>
    <t>Address for /RLTD Log</t>
  </si>
  <si>
    <t>Data From /RLTD Log</t>
  </si>
  <si>
    <t>ATB Signal Read Delay (delay after /RLTD before reading steering words)</t>
  </si>
  <si>
    <t>Overrun</t>
  </si>
  <si>
    <r>
      <rPr>
        <b/>
        <sz val="11"/>
        <color theme="1"/>
        <rFont val="Calibri"/>
        <family val="2"/>
        <scheme val="minor"/>
      </rPr>
      <t>[4]</t>
    </r>
    <r>
      <rPr>
        <sz val="11"/>
        <color theme="1"/>
        <rFont val="Calibri"/>
        <family val="2"/>
        <scheme val="minor"/>
      </rPr>
      <t xml:space="preserve"> This bit indicates if a transaction took more than 10us</t>
    </r>
  </si>
  <si>
    <t>30..7</t>
  </si>
  <si>
    <t>23..21</t>
  </si>
  <si>
    <t>30 .. 24</t>
  </si>
  <si>
    <t>sw_alpha (Steering word sent to the DU)</t>
  </si>
  <si>
    <t>sw_beta (Steering word sent to the DU)</t>
  </si>
  <si>
    <t>Steering Word sent to the DU</t>
  </si>
  <si>
    <r>
      <t xml:space="preserve">Data Type: (WLAC18=Bit7 and WLAC17=Bit6)
00 = Error
01 = Config
10 = Status 
</t>
    </r>
    <r>
      <rPr>
        <sz val="11"/>
        <color rgb="FF0070C0"/>
        <rFont val="Calibri"/>
        <family val="2"/>
        <scheme val="minor"/>
      </rPr>
      <t>11 = Future Use</t>
    </r>
  </si>
  <si>
    <t>Delay value in Clocks from /RLTD before incoming data from ATB is sampled</t>
  </si>
  <si>
    <t>[1] This value is how long to wait after an /RLTD before sampling the steering words coming from the ATB.  The defualt of 330ns matches the legacy system which is one 3MHz clock.</t>
  </si>
  <si>
    <t>6..0</t>
  </si>
  <si>
    <t>31..7</t>
  </si>
  <si>
    <t>0x000000</t>
  </si>
  <si>
    <t>[1] When an address is written to this register the associated data log value will automatically written the /RLTD data log data register.</t>
  </si>
  <si>
    <t>Memory Address for reading the Time between /RTLDs data log.  Valid address: 0 to 100</t>
  </si>
  <si>
    <t>us</t>
  </si>
  <si>
    <t>Time Conversion</t>
  </si>
  <si>
    <t>[2] If an /RLTD is received with no coresponding /RLTD within 80ms the counter is reset and no value saved.</t>
  </si>
  <si>
    <t>Time in Counts between /RLTDs from the /RLTD Data log for the address in the data log address register</t>
  </si>
  <si>
    <t>[1] The /RLTD data log recoreds the time between /RLTDs.  It stores 100 values and then begins overwriting these values from the beginning.  The value in this register is populated when the data log address register is written.</t>
  </si>
  <si>
    <t>Transaction Time (Time from RLTD to end of SPI transfers in clock counts)</t>
  </si>
  <si>
    <t>Time in counts from the start of an /RLTD until the full transaction is complete</t>
  </si>
  <si>
    <t>[2] If this time is greater than 10us (1000 counts), the overrun bit in the oveaall status register will be set</t>
  </si>
  <si>
    <t>[1] This value considers several things:
1. Fixed value to account for cable propigation delay of /RLTD from TWGS to the ATB
2. Fixed value for ATB/DU circuit propigation delays (from circuits and trace delays)
3. A counter that runs from the time /RLTD is received until all SPI transactions are complete (includes read back delays).
4. DCU mutiplier caclcution time (end of SPI, calculation, setting phase words)</t>
  </si>
  <si>
    <t>Last version to affect the register map: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</si>
</sst>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
      <sz val="11"/>
      <color rgb="FF0070C0"/>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10" fillId="0" borderId="1" xfId="0" applyFont="1" applyBorder="1" applyAlignment="1">
      <alignment horizontal="center"/>
    </xf>
    <xf numFmtId="0" fontId="10" fillId="0" borderId="1" xfId="0" applyFont="1" applyBorder="1"/>
    <xf numFmtId="0" fontId="0" fillId="6" borderId="1" xfId="0" applyFill="1" applyBorder="1"/>
    <xf numFmtId="2" fontId="0" fillId="0" borderId="1" xfId="0" applyNumberFormat="1" applyBorder="1"/>
    <xf numFmtId="0" fontId="0" fillId="7" borderId="1" xfId="0" applyFill="1" applyBorder="1"/>
    <xf numFmtId="0" fontId="0" fillId="6" borderId="1" xfId="0" applyFill="1" applyBorder="1" applyAlignment="1">
      <alignment wrapText="1"/>
    </xf>
    <xf numFmtId="0" fontId="0" fillId="6" borderId="0" xfId="0" applyFill="1" applyAlignment="1">
      <alignment wrapText="1"/>
    </xf>
    <xf numFmtId="0" fontId="1"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0" fillId="4" borderId="1" xfId="0" applyFill="1" applyBorder="1" applyAlignment="1">
      <alignment horizontal="left"/>
    </xf>
    <xf numFmtId="0" fontId="8" fillId="4" borderId="1" xfId="0" applyFont="1" applyFill="1" applyBorder="1" applyAlignment="1">
      <alignment horizontal="center"/>
    </xf>
    <xf numFmtId="0" fontId="0" fillId="4" borderId="1" xfId="0" applyFill="1" applyBorder="1" applyAlignment="1">
      <alignment horizontal="center"/>
    </xf>
    <xf numFmtId="0" fontId="8" fillId="0" borderId="1" xfId="0" applyFont="1" applyBorder="1" applyAlignment="1">
      <alignment horizontal="center"/>
    </xf>
    <xf numFmtId="0" fontId="0" fillId="0" borderId="1" xfId="0" applyFill="1" applyBorder="1" applyAlignment="1">
      <alignment wrapText="1"/>
    </xf>
    <xf numFmtId="0" fontId="0" fillId="0" borderId="1" xfId="0" quotePrefix="1" applyFill="1" applyBorder="1"/>
    <xf numFmtId="0" fontId="10" fillId="0" borderId="1" xfId="0" applyFont="1" applyFill="1" applyBorder="1" applyAlignment="1">
      <alignment wrapText="1"/>
    </xf>
    <xf numFmtId="0" fontId="0" fillId="3" borderId="1" xfId="0" quotePrefix="1" applyFill="1" applyBorder="1"/>
    <xf numFmtId="0" fontId="10" fillId="3" borderId="1" xfId="0" applyFont="1" applyFill="1" applyBorder="1" applyAlignment="1">
      <alignment wrapText="1"/>
    </xf>
    <xf numFmtId="0" fontId="0" fillId="0" borderId="1" xfId="0" applyFill="1" applyBorder="1"/>
    <xf numFmtId="0" fontId="0" fillId="0"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47625</xdr:rowOff>
    </xdr:from>
    <xdr:to>
      <xdr:col>1</xdr:col>
      <xdr:colOff>5943600</xdr:colOff>
      <xdr:row>8</xdr:row>
      <xdr:rowOff>9525</xdr:rowOff>
    </xdr:to>
    <xdr:pic>
      <xdr:nvPicPr>
        <xdr:cNvPr id="2" name="Picture 1">
          <a:extLst>
            <a:ext uri="{FF2B5EF4-FFF2-40B4-BE49-F238E27FC236}">
              <a16:creationId xmlns:a16="http://schemas.microsoft.com/office/drawing/2014/main" id="{C53B1A5D-DF79-4606-A30D-02F8D6746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1571625"/>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2.570312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58" t="s">
        <v>27</v>
      </c>
      <c r="E4" s="3" t="s">
        <v>14</v>
      </c>
    </row>
    <row r="5" spans="2:5" x14ac:dyDescent="0.25">
      <c r="B5" s="10">
        <f t="shared" ref="B5:B34" si="1">B4+1</f>
        <v>2</v>
      </c>
      <c r="C5" s="3" t="str">
        <f t="shared" si="0"/>
        <v>0x0008</v>
      </c>
      <c r="D5" s="58" t="s">
        <v>32</v>
      </c>
      <c r="E5" s="3" t="s">
        <v>15</v>
      </c>
    </row>
    <row r="6" spans="2:5" x14ac:dyDescent="0.25">
      <c r="B6" s="10">
        <f t="shared" si="1"/>
        <v>3</v>
      </c>
      <c r="C6" s="3" t="str">
        <f t="shared" si="0"/>
        <v>0x000C</v>
      </c>
      <c r="D6" s="3" t="s">
        <v>34</v>
      </c>
      <c r="E6" s="3" t="s">
        <v>15</v>
      </c>
    </row>
    <row r="7" spans="2:5" x14ac:dyDescent="0.25">
      <c r="B7" s="10">
        <f t="shared" si="1"/>
        <v>4</v>
      </c>
      <c r="C7" s="3" t="str">
        <f t="shared" si="0"/>
        <v>0x0010</v>
      </c>
      <c r="D7" s="3" t="s">
        <v>35</v>
      </c>
      <c r="E7" s="3" t="s">
        <v>15</v>
      </c>
    </row>
    <row r="8" spans="2:5" x14ac:dyDescent="0.25">
      <c r="B8" s="10">
        <f t="shared" si="1"/>
        <v>5</v>
      </c>
      <c r="C8" s="3" t="str">
        <f t="shared" si="0"/>
        <v>0x0014</v>
      </c>
      <c r="D8" s="3" t="s">
        <v>208</v>
      </c>
      <c r="E8" s="3" t="s">
        <v>14</v>
      </c>
    </row>
    <row r="9" spans="2:5" x14ac:dyDescent="0.25">
      <c r="B9" s="10">
        <f t="shared" si="1"/>
        <v>6</v>
      </c>
      <c r="C9" s="3" t="str">
        <f t="shared" si="0"/>
        <v>0x0018</v>
      </c>
      <c r="D9" s="3" t="s">
        <v>209</v>
      </c>
      <c r="E9" s="3" t="s">
        <v>14</v>
      </c>
    </row>
    <row r="10" spans="2:5" x14ac:dyDescent="0.25">
      <c r="B10" s="10">
        <f t="shared" si="1"/>
        <v>7</v>
      </c>
      <c r="C10" s="3" t="str">
        <f t="shared" si="0"/>
        <v>0x001C</v>
      </c>
      <c r="D10" s="3" t="s">
        <v>45</v>
      </c>
      <c r="E10" s="3" t="s">
        <v>14</v>
      </c>
    </row>
    <row r="11" spans="2:5" x14ac:dyDescent="0.25">
      <c r="B11" s="10">
        <f t="shared" si="1"/>
        <v>8</v>
      </c>
      <c r="C11" s="3" t="str">
        <f t="shared" si="0"/>
        <v>0x0020</v>
      </c>
      <c r="D11" s="3" t="s">
        <v>53</v>
      </c>
      <c r="E11" s="3" t="s">
        <v>14</v>
      </c>
    </row>
    <row r="12" spans="2:5" x14ac:dyDescent="0.25">
      <c r="B12" s="10">
        <f t="shared" si="1"/>
        <v>9</v>
      </c>
      <c r="C12" s="3" t="str">
        <f t="shared" si="0"/>
        <v>0x0024</v>
      </c>
      <c r="D12" s="3" t="s">
        <v>87</v>
      </c>
      <c r="E12" s="3" t="s">
        <v>15</v>
      </c>
    </row>
    <row r="13" spans="2:5" x14ac:dyDescent="0.25">
      <c r="B13" s="10">
        <f t="shared" si="1"/>
        <v>10</v>
      </c>
      <c r="C13" s="3" t="str">
        <f t="shared" si="0"/>
        <v>0x0028</v>
      </c>
      <c r="D13" s="3" t="s">
        <v>16</v>
      </c>
      <c r="E13" s="3" t="s">
        <v>15</v>
      </c>
    </row>
    <row r="14" spans="2:5" x14ac:dyDescent="0.25">
      <c r="B14" s="10">
        <f t="shared" si="1"/>
        <v>11</v>
      </c>
      <c r="C14" s="3" t="str">
        <f t="shared" si="0"/>
        <v>0x002C</v>
      </c>
      <c r="D14" s="3" t="s">
        <v>100</v>
      </c>
      <c r="E14" s="3" t="s">
        <v>15</v>
      </c>
    </row>
    <row r="15" spans="2:5" x14ac:dyDescent="0.25">
      <c r="B15" s="10">
        <f t="shared" si="1"/>
        <v>12</v>
      </c>
      <c r="C15" s="3" t="str">
        <f t="shared" si="0"/>
        <v>0x0030</v>
      </c>
      <c r="D15" s="3" t="s">
        <v>172</v>
      </c>
      <c r="E15" s="3" t="s">
        <v>15</v>
      </c>
    </row>
    <row r="16" spans="2:5" x14ac:dyDescent="0.25">
      <c r="B16" s="10">
        <f t="shared" si="1"/>
        <v>13</v>
      </c>
      <c r="C16" s="3" t="str">
        <f t="shared" si="0"/>
        <v>0x0034</v>
      </c>
      <c r="D16" s="3" t="s">
        <v>184</v>
      </c>
      <c r="E16" s="3" t="s">
        <v>15</v>
      </c>
    </row>
    <row r="17" spans="2:5" x14ac:dyDescent="0.25">
      <c r="B17" s="10">
        <f t="shared" si="1"/>
        <v>14</v>
      </c>
      <c r="C17" s="3" t="str">
        <f t="shared" si="0"/>
        <v>0x0038</v>
      </c>
      <c r="D17" s="3" t="s">
        <v>185</v>
      </c>
      <c r="E17" s="3" t="s">
        <v>15</v>
      </c>
    </row>
    <row r="18" spans="2:5" x14ac:dyDescent="0.25">
      <c r="B18" s="10">
        <f t="shared" si="1"/>
        <v>15</v>
      </c>
      <c r="C18" s="3" t="str">
        <f t="shared" si="0"/>
        <v>0x003C</v>
      </c>
      <c r="D18" s="3" t="s">
        <v>186</v>
      </c>
      <c r="E18" s="3" t="s">
        <v>15</v>
      </c>
    </row>
    <row r="19" spans="2:5" x14ac:dyDescent="0.25">
      <c r="B19" s="10">
        <f t="shared" si="1"/>
        <v>16</v>
      </c>
      <c r="C19" s="3" t="str">
        <f t="shared" si="0"/>
        <v>0x0040</v>
      </c>
      <c r="D19" s="3" t="s">
        <v>187</v>
      </c>
      <c r="E19" s="3" t="s">
        <v>15</v>
      </c>
    </row>
    <row r="20" spans="2:5" x14ac:dyDescent="0.25">
      <c r="B20" s="10">
        <f t="shared" si="1"/>
        <v>17</v>
      </c>
      <c r="C20" s="3" t="str">
        <f t="shared" si="0"/>
        <v>0x0044</v>
      </c>
      <c r="D20" s="42" t="s">
        <v>202</v>
      </c>
      <c r="E20" s="3" t="s">
        <v>15</v>
      </c>
    </row>
    <row r="21" spans="2:5" x14ac:dyDescent="0.25">
      <c r="B21" s="10">
        <f t="shared" si="1"/>
        <v>18</v>
      </c>
      <c r="C21" s="3" t="str">
        <f t="shared" si="0"/>
        <v>0x0048</v>
      </c>
      <c r="D21" s="58" t="s">
        <v>200</v>
      </c>
      <c r="E21" s="3" t="s">
        <v>15</v>
      </c>
    </row>
    <row r="22" spans="2:5" x14ac:dyDescent="0.25">
      <c r="B22" s="10">
        <f t="shared" si="1"/>
        <v>19</v>
      </c>
      <c r="C22" s="3" t="str">
        <f t="shared" si="0"/>
        <v>0x004C</v>
      </c>
      <c r="D22" s="58" t="s">
        <v>201</v>
      </c>
      <c r="E22" s="3" t="s">
        <v>14</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58" t="s">
        <v>224</v>
      </c>
      <c r="E29" s="3" t="s">
        <v>14</v>
      </c>
    </row>
    <row r="30" spans="2:5" x14ac:dyDescent="0.25">
      <c r="B30" s="10">
        <f t="shared" si="1"/>
        <v>27</v>
      </c>
      <c r="C30" s="3" t="str">
        <f t="shared" si="0"/>
        <v>0x006C</v>
      </c>
      <c r="D30" s="3" t="s">
        <v>28</v>
      </c>
      <c r="E30" s="3" t="s">
        <v>14</v>
      </c>
    </row>
    <row r="31" spans="2:5" x14ac:dyDescent="0.25">
      <c r="B31" s="10">
        <f t="shared" si="1"/>
        <v>28</v>
      </c>
      <c r="C31" s="3" t="str">
        <f t="shared" si="0"/>
        <v>0x0070</v>
      </c>
      <c r="D31" s="3" t="s">
        <v>36</v>
      </c>
      <c r="E31" s="3" t="s">
        <v>14</v>
      </c>
    </row>
    <row r="32" spans="2:5" x14ac:dyDescent="0.25">
      <c r="B32" s="10">
        <f t="shared" si="1"/>
        <v>29</v>
      </c>
      <c r="C32" s="3" t="str">
        <f t="shared" si="0"/>
        <v>0x0074</v>
      </c>
      <c r="D32" s="3" t="s">
        <v>101</v>
      </c>
      <c r="E32" s="3" t="s">
        <v>14</v>
      </c>
    </row>
    <row r="33" spans="2:5" x14ac:dyDescent="0.25">
      <c r="B33" s="10">
        <f t="shared" si="1"/>
        <v>30</v>
      </c>
      <c r="C33" s="3" t="str">
        <f t="shared" si="0"/>
        <v>0x0078</v>
      </c>
      <c r="D33" s="3" t="s">
        <v>42</v>
      </c>
      <c r="E33" s="3" t="s">
        <v>14</v>
      </c>
    </row>
    <row r="34" spans="2:5" x14ac:dyDescent="0.25">
      <c r="B34" s="10">
        <f t="shared" si="1"/>
        <v>31</v>
      </c>
      <c r="C34" s="3" t="str">
        <f t="shared" si="0"/>
        <v>0x007C</v>
      </c>
      <c r="D34" s="3" t="s">
        <v>9</v>
      </c>
      <c r="E34" s="3" t="s">
        <v>15</v>
      </c>
    </row>
    <row r="35" spans="2:5" x14ac:dyDescent="0.25">
      <c r="B35" s="49" t="s">
        <v>33</v>
      </c>
      <c r="C35" s="49"/>
      <c r="D35" s="49"/>
      <c r="E35" s="49"/>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49" t="s">
        <v>59</v>
      </c>
      <c r="C188" s="49"/>
      <c r="D188" s="49"/>
      <c r="E188" s="49"/>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228</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8"/>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58</v>
      </c>
      <c r="C3" s="17" t="s">
        <v>14</v>
      </c>
      <c r="D3" s="18">
        <v>0</v>
      </c>
      <c r="E3" s="23">
        <v>3</v>
      </c>
    </row>
    <row r="4" spans="1:5" x14ac:dyDescent="0.25">
      <c r="A4" s="10" t="s">
        <v>205</v>
      </c>
      <c r="B4" s="19" t="s">
        <v>2</v>
      </c>
      <c r="C4" s="3"/>
      <c r="D4" s="10"/>
      <c r="E4" s="10"/>
    </row>
    <row r="5" spans="1:5" x14ac:dyDescent="0.25">
      <c r="A5" s="18">
        <v>6</v>
      </c>
      <c r="B5" s="45" t="s">
        <v>203</v>
      </c>
      <c r="C5" s="17" t="s">
        <v>14</v>
      </c>
      <c r="D5" s="18">
        <v>0</v>
      </c>
      <c r="E5" s="18">
        <v>4</v>
      </c>
    </row>
    <row r="6" spans="1:5" x14ac:dyDescent="0.25">
      <c r="A6" s="10">
        <v>5</v>
      </c>
      <c r="B6" s="3" t="s">
        <v>144</v>
      </c>
      <c r="C6" s="3" t="s">
        <v>14</v>
      </c>
      <c r="D6" s="10">
        <v>0</v>
      </c>
      <c r="E6" s="10">
        <v>1</v>
      </c>
    </row>
    <row r="7" spans="1:5" x14ac:dyDescent="0.25">
      <c r="A7" s="18">
        <v>4</v>
      </c>
      <c r="B7" s="17" t="s">
        <v>40</v>
      </c>
      <c r="C7" s="17" t="s">
        <v>14</v>
      </c>
      <c r="D7" s="18">
        <v>0</v>
      </c>
      <c r="E7" s="18">
        <v>2</v>
      </c>
    </row>
    <row r="8" spans="1:5" x14ac:dyDescent="0.25">
      <c r="A8" s="10">
        <v>3</v>
      </c>
      <c r="B8" s="3" t="s">
        <v>39</v>
      </c>
      <c r="C8" s="3" t="s">
        <v>14</v>
      </c>
      <c r="D8" s="10">
        <v>0</v>
      </c>
      <c r="E8" s="10">
        <v>2</v>
      </c>
    </row>
    <row r="9" spans="1:5" x14ac:dyDescent="0.25">
      <c r="A9" s="18">
        <v>2</v>
      </c>
      <c r="B9" s="17" t="s">
        <v>38</v>
      </c>
      <c r="C9" s="17" t="s">
        <v>14</v>
      </c>
      <c r="D9" s="18">
        <v>0</v>
      </c>
      <c r="E9" s="18">
        <v>2</v>
      </c>
    </row>
    <row r="10" spans="1:5" x14ac:dyDescent="0.25">
      <c r="A10" s="10">
        <v>1</v>
      </c>
      <c r="B10" s="3" t="s">
        <v>37</v>
      </c>
      <c r="C10" s="3" t="s">
        <v>14</v>
      </c>
      <c r="D10" s="10">
        <v>0</v>
      </c>
      <c r="E10" s="10">
        <v>1</v>
      </c>
    </row>
    <row r="11" spans="1:5" x14ac:dyDescent="0.25">
      <c r="A11" s="18">
        <v>0</v>
      </c>
      <c r="B11" s="17" t="s">
        <v>52</v>
      </c>
      <c r="C11" s="17" t="s">
        <v>14</v>
      </c>
      <c r="D11" s="18">
        <v>0</v>
      </c>
      <c r="E11" s="18"/>
    </row>
    <row r="13" spans="1:5" x14ac:dyDescent="0.25">
      <c r="B13" s="5" t="s">
        <v>7</v>
      </c>
    </row>
    <row r="14" spans="1:5" x14ac:dyDescent="0.25">
      <c r="B14" s="7"/>
    </row>
    <row r="15" spans="1:5" ht="75" x14ac:dyDescent="0.25">
      <c r="B15" s="7" t="s">
        <v>145</v>
      </c>
    </row>
    <row r="16" spans="1:5" ht="60" x14ac:dyDescent="0.25">
      <c r="B16" s="7" t="s">
        <v>147</v>
      </c>
    </row>
    <row r="17" spans="2:2" x14ac:dyDescent="0.25">
      <c r="B17" s="7" t="s">
        <v>146</v>
      </c>
    </row>
    <row r="18" spans="2:2" x14ac:dyDescent="0.25">
      <c r="B18" s="7" t="s">
        <v>204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31"/>
  <sheetViews>
    <sheetView workbookViewId="0"/>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41</v>
      </c>
      <c r="C3" s="17" t="s">
        <v>23</v>
      </c>
      <c r="D3" s="18">
        <v>0</v>
      </c>
      <c r="E3" s="18"/>
    </row>
    <row r="4" spans="1:5" ht="15" customHeight="1" x14ac:dyDescent="0.25">
      <c r="A4" s="24" t="s">
        <v>207</v>
      </c>
      <c r="B4" s="6" t="s">
        <v>2</v>
      </c>
      <c r="C4" s="3" t="s">
        <v>23</v>
      </c>
      <c r="D4" s="10">
        <v>0</v>
      </c>
      <c r="E4" s="10"/>
    </row>
    <row r="5" spans="1:5" ht="15" customHeight="1" x14ac:dyDescent="0.25">
      <c r="A5" s="15" t="s">
        <v>206</v>
      </c>
      <c r="B5" s="16" t="s">
        <v>29</v>
      </c>
      <c r="C5" s="17"/>
      <c r="D5" s="18"/>
      <c r="E5" s="18"/>
    </row>
    <row r="6" spans="1:5" ht="15" customHeight="1" x14ac:dyDescent="0.25">
      <c r="A6" s="47">
        <v>20</v>
      </c>
      <c r="B6" s="48" t="s">
        <v>199</v>
      </c>
      <c r="C6" s="3" t="s">
        <v>23</v>
      </c>
      <c r="D6" s="10">
        <v>0</v>
      </c>
      <c r="E6" s="10"/>
    </row>
    <row r="7" spans="1:5" ht="15" customHeight="1" x14ac:dyDescent="0.25">
      <c r="A7" s="15" t="s">
        <v>174</v>
      </c>
      <c r="B7" s="16" t="s">
        <v>29</v>
      </c>
      <c r="C7" s="17" t="s">
        <v>23</v>
      </c>
      <c r="D7" s="18">
        <v>0</v>
      </c>
      <c r="E7" s="18"/>
    </row>
    <row r="8" spans="1:5" ht="68.25" customHeight="1" x14ac:dyDescent="0.25">
      <c r="A8" s="24" t="s">
        <v>173</v>
      </c>
      <c r="B8" s="6" t="s">
        <v>175</v>
      </c>
      <c r="C8" s="3" t="s">
        <v>23</v>
      </c>
      <c r="D8" s="10" t="s">
        <v>97</v>
      </c>
      <c r="E8" s="10"/>
    </row>
    <row r="9" spans="1:5" ht="15" customHeight="1" x14ac:dyDescent="0.25">
      <c r="A9" s="15">
        <v>15</v>
      </c>
      <c r="B9" s="16" t="s">
        <v>29</v>
      </c>
      <c r="C9" s="17" t="s">
        <v>23</v>
      </c>
      <c r="D9" s="18">
        <v>0</v>
      </c>
      <c r="E9" s="18"/>
    </row>
    <row r="10" spans="1:5" ht="15" customHeight="1" x14ac:dyDescent="0.25">
      <c r="A10" s="24">
        <v>14</v>
      </c>
      <c r="B10" s="6" t="s">
        <v>197</v>
      </c>
      <c r="C10" s="3" t="s">
        <v>23</v>
      </c>
      <c r="D10" s="10">
        <v>0</v>
      </c>
      <c r="E10" s="10"/>
    </row>
    <row r="11" spans="1:5" ht="15" customHeight="1" x14ac:dyDescent="0.25">
      <c r="A11" s="15">
        <v>13</v>
      </c>
      <c r="B11" s="16" t="s">
        <v>196</v>
      </c>
      <c r="C11" s="17" t="s">
        <v>23</v>
      </c>
      <c r="D11" s="18">
        <v>0</v>
      </c>
      <c r="E11" s="18"/>
    </row>
    <row r="12" spans="1:5" ht="15" customHeight="1" x14ac:dyDescent="0.25">
      <c r="A12" s="24">
        <v>12</v>
      </c>
      <c r="B12" s="6" t="s">
        <v>160</v>
      </c>
      <c r="C12" s="3" t="s">
        <v>23</v>
      </c>
      <c r="D12" s="10">
        <v>0</v>
      </c>
      <c r="E12" s="10">
        <v>6</v>
      </c>
    </row>
    <row r="13" spans="1:5" ht="15" customHeight="1" x14ac:dyDescent="0.25">
      <c r="A13" s="15">
        <v>11</v>
      </c>
      <c r="B13" s="16" t="s">
        <v>29</v>
      </c>
      <c r="C13" s="17" t="s">
        <v>23</v>
      </c>
      <c r="D13" s="18">
        <v>0</v>
      </c>
      <c r="E13" s="18"/>
    </row>
    <row r="14" spans="1:5" ht="68.45" customHeight="1" x14ac:dyDescent="0.25">
      <c r="A14" s="24">
        <v>10.8</v>
      </c>
      <c r="B14" s="6" t="s">
        <v>177</v>
      </c>
      <c r="C14" s="3" t="s">
        <v>23</v>
      </c>
      <c r="D14" s="10" t="s">
        <v>97</v>
      </c>
      <c r="E14" s="10">
        <v>5</v>
      </c>
    </row>
    <row r="15" spans="1:5" ht="15" customHeight="1" x14ac:dyDescent="0.25">
      <c r="A15" s="15">
        <v>7</v>
      </c>
      <c r="B15" s="16" t="s">
        <v>29</v>
      </c>
      <c r="C15" s="17" t="s">
        <v>23</v>
      </c>
      <c r="D15" s="18">
        <v>0</v>
      </c>
      <c r="E15" s="18"/>
    </row>
    <row r="16" spans="1:5" ht="69" customHeight="1" x14ac:dyDescent="0.25">
      <c r="A16" s="24" t="s">
        <v>95</v>
      </c>
      <c r="B16" s="6" t="s">
        <v>99</v>
      </c>
      <c r="C16" s="3" t="s">
        <v>23</v>
      </c>
      <c r="D16" s="10" t="s">
        <v>98</v>
      </c>
      <c r="E16" s="10">
        <v>4</v>
      </c>
    </row>
    <row r="17" spans="1:5" ht="15" customHeight="1" x14ac:dyDescent="0.25">
      <c r="A17" s="15">
        <v>4</v>
      </c>
      <c r="B17" s="16" t="s">
        <v>92</v>
      </c>
      <c r="C17" s="17" t="s">
        <v>23</v>
      </c>
      <c r="D17" s="18">
        <v>1</v>
      </c>
      <c r="E17" s="18">
        <v>3</v>
      </c>
    </row>
    <row r="18" spans="1:5" ht="15" customHeight="1" x14ac:dyDescent="0.25">
      <c r="A18" s="24">
        <v>3</v>
      </c>
      <c r="B18" s="6" t="s">
        <v>57</v>
      </c>
      <c r="C18" s="3" t="s">
        <v>23</v>
      </c>
      <c r="D18" s="10">
        <v>0</v>
      </c>
      <c r="E18" s="10">
        <v>2</v>
      </c>
    </row>
    <row r="19" spans="1:5" ht="15" customHeight="1" x14ac:dyDescent="0.25">
      <c r="A19" s="15">
        <v>2</v>
      </c>
      <c r="B19" s="16" t="s">
        <v>56</v>
      </c>
      <c r="C19" s="17" t="s">
        <v>23</v>
      </c>
      <c r="D19" s="18">
        <v>0</v>
      </c>
      <c r="E19" s="18"/>
    </row>
    <row r="20" spans="1:5" ht="15" customHeight="1" x14ac:dyDescent="0.25">
      <c r="A20" s="24">
        <v>1</v>
      </c>
      <c r="B20" s="6" t="s">
        <v>93</v>
      </c>
      <c r="C20" s="3" t="s">
        <v>23</v>
      </c>
      <c r="D20" s="10">
        <v>0</v>
      </c>
      <c r="E20" s="10"/>
    </row>
    <row r="21" spans="1:5" ht="15" customHeight="1" x14ac:dyDescent="0.25">
      <c r="A21" s="15">
        <v>0</v>
      </c>
      <c r="B21" s="16" t="s">
        <v>94</v>
      </c>
      <c r="C21" s="17" t="s">
        <v>23</v>
      </c>
      <c r="D21" s="18">
        <v>0</v>
      </c>
      <c r="E21" s="18">
        <v>1</v>
      </c>
    </row>
    <row r="22" spans="1:5" ht="15" customHeight="1" x14ac:dyDescent="0.25">
      <c r="A22" s="25"/>
      <c r="B22" s="4"/>
      <c r="D22" s="22"/>
      <c r="E22" s="22"/>
    </row>
    <row r="24" spans="1:5" x14ac:dyDescent="0.25">
      <c r="B24" s="11" t="s">
        <v>7</v>
      </c>
    </row>
    <row r="25" spans="1:5" ht="43.5" x14ac:dyDescent="0.25">
      <c r="B25" s="30" t="s">
        <v>126</v>
      </c>
    </row>
    <row r="26" spans="1:5" ht="43.5" x14ac:dyDescent="0.25">
      <c r="B26" s="31" t="s">
        <v>109</v>
      </c>
    </row>
    <row r="27" spans="1:5" ht="44.25" x14ac:dyDescent="0.25">
      <c r="B27" s="29" t="s">
        <v>127</v>
      </c>
    </row>
    <row r="28" spans="1:5" ht="30" x14ac:dyDescent="0.25">
      <c r="B28" s="29" t="s">
        <v>128</v>
      </c>
    </row>
    <row r="29" spans="1:5" ht="72.75" x14ac:dyDescent="0.25">
      <c r="B29" s="29" t="s">
        <v>129</v>
      </c>
    </row>
    <row r="30" spans="1:5" x14ac:dyDescent="0.25">
      <c r="B30" s="29" t="s">
        <v>161</v>
      </c>
    </row>
    <row r="31" spans="1:5" x14ac:dyDescent="0.25">
      <c r="B31"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31</v>
      </c>
      <c r="B3" s="20" t="s">
        <v>91</v>
      </c>
      <c r="C3" s="17" t="s">
        <v>23</v>
      </c>
      <c r="D3" s="18"/>
      <c r="E3" s="18"/>
    </row>
    <row r="4" spans="1:5" x14ac:dyDescent="0.25">
      <c r="A4" s="10" t="s">
        <v>30</v>
      </c>
      <c r="B4" s="3" t="s">
        <v>90</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31</v>
      </c>
      <c r="B3" s="20" t="s">
        <v>2</v>
      </c>
      <c r="C3" s="17" t="s">
        <v>19</v>
      </c>
      <c r="D3" s="18"/>
      <c r="E3" s="18"/>
    </row>
    <row r="4" spans="1:5" x14ac:dyDescent="0.25">
      <c r="A4" s="10" t="s">
        <v>30</v>
      </c>
      <c r="B4" s="3" t="s">
        <v>210</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46</v>
      </c>
      <c r="B3" s="16" t="s">
        <v>2</v>
      </c>
      <c r="C3" s="17" t="s">
        <v>19</v>
      </c>
      <c r="D3" s="18">
        <v>0</v>
      </c>
      <c r="E3" s="18"/>
    </row>
    <row r="4" spans="1:5" x14ac:dyDescent="0.25">
      <c r="A4" s="24">
        <v>4</v>
      </c>
      <c r="B4" s="6" t="s">
        <v>47</v>
      </c>
      <c r="C4" s="3" t="s">
        <v>14</v>
      </c>
      <c r="D4" s="10"/>
      <c r="E4" s="10"/>
    </row>
    <row r="5" spans="1:5" x14ac:dyDescent="0.25">
      <c r="A5" s="15">
        <v>3</v>
      </c>
      <c r="B5" s="16" t="s">
        <v>48</v>
      </c>
      <c r="C5" s="17" t="s">
        <v>14</v>
      </c>
      <c r="D5" s="18"/>
      <c r="E5" s="18"/>
    </row>
    <row r="6" spans="1:5" x14ac:dyDescent="0.25">
      <c r="A6" s="24">
        <v>2</v>
      </c>
      <c r="B6" s="6" t="s">
        <v>49</v>
      </c>
      <c r="C6" s="3" t="s">
        <v>14</v>
      </c>
      <c r="D6" s="10"/>
      <c r="E6" s="10"/>
    </row>
    <row r="7" spans="1:5" x14ac:dyDescent="0.25">
      <c r="A7" s="15">
        <v>1</v>
      </c>
      <c r="B7" s="16" t="s">
        <v>50</v>
      </c>
      <c r="C7" s="17" t="s">
        <v>14</v>
      </c>
      <c r="D7" s="18">
        <v>0</v>
      </c>
      <c r="E7" s="18"/>
    </row>
    <row r="8" spans="1:5" x14ac:dyDescent="0.25">
      <c r="A8" s="24">
        <v>0</v>
      </c>
      <c r="B8" s="6" t="s">
        <v>51</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2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79</v>
      </c>
      <c r="B3" s="16" t="s">
        <v>2</v>
      </c>
      <c r="C3" s="17" t="s">
        <v>19</v>
      </c>
      <c r="D3" s="18">
        <v>0</v>
      </c>
      <c r="E3" s="18"/>
    </row>
    <row r="4" spans="1:5" x14ac:dyDescent="0.25">
      <c r="A4" s="24">
        <v>11</v>
      </c>
      <c r="B4" s="6" t="s">
        <v>179</v>
      </c>
      <c r="C4" s="3" t="s">
        <v>14</v>
      </c>
      <c r="D4" s="10">
        <v>1</v>
      </c>
      <c r="E4" s="10">
        <v>4</v>
      </c>
    </row>
    <row r="5" spans="1:5" x14ac:dyDescent="0.25">
      <c r="A5" s="15">
        <v>10</v>
      </c>
      <c r="B5" s="16" t="s">
        <v>178</v>
      </c>
      <c r="C5" s="17" t="s">
        <v>14</v>
      </c>
      <c r="D5" s="18">
        <v>1</v>
      </c>
      <c r="E5" s="18">
        <v>3</v>
      </c>
    </row>
    <row r="6" spans="1:5" x14ac:dyDescent="0.25">
      <c r="A6" s="24">
        <v>9</v>
      </c>
      <c r="B6" s="6" t="s">
        <v>176</v>
      </c>
      <c r="C6" s="3" t="s">
        <v>14</v>
      </c>
      <c r="D6" s="10">
        <v>1</v>
      </c>
      <c r="E6" s="10">
        <v>2</v>
      </c>
    </row>
    <row r="7" spans="1:5" x14ac:dyDescent="0.25">
      <c r="A7" s="15">
        <v>8</v>
      </c>
      <c r="B7" s="16" t="s">
        <v>86</v>
      </c>
      <c r="C7" s="17" t="s">
        <v>14</v>
      </c>
      <c r="D7" s="18">
        <v>1</v>
      </c>
      <c r="E7" s="18">
        <v>1</v>
      </c>
    </row>
    <row r="8" spans="1:5" x14ac:dyDescent="0.25">
      <c r="A8" s="24" t="s">
        <v>78</v>
      </c>
      <c r="B8" s="6" t="s">
        <v>29</v>
      </c>
      <c r="C8" s="3" t="s">
        <v>14</v>
      </c>
      <c r="D8" s="10">
        <v>0</v>
      </c>
      <c r="E8" s="10"/>
    </row>
    <row r="9" spans="1:5" x14ac:dyDescent="0.25">
      <c r="A9" s="15">
        <v>5</v>
      </c>
      <c r="B9" s="16" t="s">
        <v>85</v>
      </c>
      <c r="C9" s="17" t="s">
        <v>14</v>
      </c>
      <c r="D9" s="18">
        <v>0</v>
      </c>
      <c r="E9" s="18"/>
    </row>
    <row r="10" spans="1:5" x14ac:dyDescent="0.25">
      <c r="A10" s="24">
        <v>4</v>
      </c>
      <c r="B10" s="6" t="s">
        <v>83</v>
      </c>
      <c r="C10" s="3" t="s">
        <v>14</v>
      </c>
      <c r="D10" s="10">
        <v>0</v>
      </c>
      <c r="E10" s="10"/>
    </row>
    <row r="11" spans="1:5" x14ac:dyDescent="0.25">
      <c r="A11" s="15">
        <v>3</v>
      </c>
      <c r="B11" s="16" t="s">
        <v>84</v>
      </c>
      <c r="C11" s="17" t="s">
        <v>14</v>
      </c>
      <c r="D11" s="18">
        <v>0</v>
      </c>
      <c r="E11" s="18"/>
    </row>
    <row r="12" spans="1:5" x14ac:dyDescent="0.25">
      <c r="A12" s="24">
        <v>2</v>
      </c>
      <c r="B12" s="6" t="s">
        <v>55</v>
      </c>
      <c r="C12" s="3" t="s">
        <v>14</v>
      </c>
      <c r="D12" s="10">
        <v>0</v>
      </c>
      <c r="E12" s="10"/>
    </row>
    <row r="13" spans="1:5" ht="65.45" customHeight="1" x14ac:dyDescent="0.25">
      <c r="A13" s="15" t="s">
        <v>54</v>
      </c>
      <c r="B13" s="16" t="s">
        <v>96</v>
      </c>
      <c r="C13" s="17" t="s">
        <v>14</v>
      </c>
      <c r="D13" s="18">
        <v>0</v>
      </c>
      <c r="E13" s="18"/>
    </row>
    <row r="14" spans="1:5" x14ac:dyDescent="0.25">
      <c r="A14" s="25"/>
      <c r="B14" s="4"/>
      <c r="D14" s="22"/>
      <c r="E14" s="22"/>
    </row>
    <row r="16" spans="1:5" x14ac:dyDescent="0.25">
      <c r="B16" s="11" t="s">
        <v>7</v>
      </c>
    </row>
    <row r="17" spans="2:2" ht="29.25" x14ac:dyDescent="0.25">
      <c r="B17" s="29" t="s">
        <v>180</v>
      </c>
    </row>
    <row r="18" spans="2:2" ht="43.5" x14ac:dyDescent="0.25">
      <c r="B18" s="29" t="s">
        <v>181</v>
      </c>
    </row>
    <row r="19" spans="2:2" ht="57.75" x14ac:dyDescent="0.25">
      <c r="B19" s="29" t="s">
        <v>182</v>
      </c>
    </row>
    <row r="20" spans="2:2" ht="29.25" x14ac:dyDescent="0.25">
      <c r="B20" s="29" t="s">
        <v>183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61</v>
      </c>
      <c r="C4" s="3" t="s">
        <v>23</v>
      </c>
      <c r="D4" s="10" t="s">
        <v>62</v>
      </c>
      <c r="E4" s="10"/>
    </row>
    <row r="5" spans="1:5" x14ac:dyDescent="0.25">
      <c r="A5" s="18">
        <v>22</v>
      </c>
      <c r="B5" s="17" t="s">
        <v>71</v>
      </c>
      <c r="C5" s="17" t="s">
        <v>23</v>
      </c>
      <c r="D5" s="18"/>
      <c r="E5" s="18"/>
    </row>
    <row r="6" spans="1:5" x14ac:dyDescent="0.25">
      <c r="A6" s="10">
        <v>21</v>
      </c>
      <c r="B6" s="3" t="s">
        <v>60</v>
      </c>
      <c r="C6" s="3" t="s">
        <v>23</v>
      </c>
      <c r="D6" s="10"/>
      <c r="E6" s="10"/>
    </row>
    <row r="7" spans="1:5" x14ac:dyDescent="0.25">
      <c r="A7" s="18">
        <v>20</v>
      </c>
      <c r="B7" s="17" t="s">
        <v>68</v>
      </c>
      <c r="C7" s="17" t="s">
        <v>23</v>
      </c>
      <c r="D7" s="18"/>
      <c r="E7" s="18"/>
    </row>
    <row r="8" spans="1:5" x14ac:dyDescent="0.25">
      <c r="A8" s="10">
        <v>19</v>
      </c>
      <c r="B8" s="3" t="s">
        <v>69</v>
      </c>
      <c r="C8" s="3" t="s">
        <v>23</v>
      </c>
      <c r="D8" s="10"/>
      <c r="E8" s="10"/>
    </row>
    <row r="9" spans="1:5" ht="75" x14ac:dyDescent="0.25">
      <c r="A9" s="18" t="s">
        <v>151</v>
      </c>
      <c r="B9" s="20" t="s">
        <v>155</v>
      </c>
      <c r="C9" s="17" t="s">
        <v>23</v>
      </c>
      <c r="D9" s="18"/>
      <c r="E9" s="18">
        <v>1</v>
      </c>
    </row>
    <row r="10" spans="1:5" ht="75" x14ac:dyDescent="0.25">
      <c r="A10" s="10" t="s">
        <v>152</v>
      </c>
      <c r="B10" s="19" t="s">
        <v>156</v>
      </c>
      <c r="C10" s="3" t="s">
        <v>23</v>
      </c>
      <c r="D10" s="10"/>
      <c r="E10" s="10">
        <v>1</v>
      </c>
    </row>
    <row r="11" spans="1:5" x14ac:dyDescent="0.25">
      <c r="A11" s="18">
        <v>14</v>
      </c>
      <c r="B11" s="20" t="s">
        <v>88</v>
      </c>
      <c r="C11" s="17"/>
      <c r="D11" s="18"/>
      <c r="E11" s="18">
        <v>1</v>
      </c>
    </row>
    <row r="12" spans="1:5" x14ac:dyDescent="0.25">
      <c r="A12" s="10">
        <v>13</v>
      </c>
      <c r="B12" s="54" t="s">
        <v>88</v>
      </c>
      <c r="C12" s="3" t="s">
        <v>23</v>
      </c>
      <c r="D12" s="10"/>
      <c r="E12" s="10"/>
    </row>
    <row r="13" spans="1:5" x14ac:dyDescent="0.25">
      <c r="A13" s="18">
        <v>12</v>
      </c>
      <c r="B13" s="56" t="s">
        <v>88</v>
      </c>
      <c r="C13" s="17" t="s">
        <v>23</v>
      </c>
      <c r="D13" s="18"/>
      <c r="E13" s="18"/>
    </row>
    <row r="14" spans="1:5" x14ac:dyDescent="0.25">
      <c r="A14" s="40">
        <v>11</v>
      </c>
      <c r="B14" s="55" t="s">
        <v>88</v>
      </c>
      <c r="C14" s="41" t="s">
        <v>23</v>
      </c>
      <c r="D14" s="40"/>
      <c r="E14" s="40"/>
    </row>
    <row r="15" spans="1:5" x14ac:dyDescent="0.25">
      <c r="A15" s="18">
        <v>10</v>
      </c>
      <c r="B15" s="17" t="s">
        <v>88</v>
      </c>
      <c r="C15" s="17" t="s">
        <v>23</v>
      </c>
      <c r="D15" s="18">
        <v>0</v>
      </c>
      <c r="E15" s="18"/>
    </row>
    <row r="16" spans="1:5" x14ac:dyDescent="0.25">
      <c r="A16" s="10">
        <v>9</v>
      </c>
      <c r="B16" s="3" t="s">
        <v>88</v>
      </c>
      <c r="C16" s="3" t="s">
        <v>23</v>
      </c>
      <c r="D16" s="10">
        <v>0</v>
      </c>
      <c r="E16" s="10"/>
    </row>
    <row r="17" spans="1:5" x14ac:dyDescent="0.25">
      <c r="A17" s="18">
        <v>8</v>
      </c>
      <c r="B17" s="17" t="s">
        <v>67</v>
      </c>
      <c r="C17" s="17" t="s">
        <v>23</v>
      </c>
      <c r="D17" s="18">
        <v>0</v>
      </c>
      <c r="E17" s="18"/>
    </row>
    <row r="18" spans="1:5" ht="75" x14ac:dyDescent="0.25">
      <c r="A18" s="10" t="s">
        <v>78</v>
      </c>
      <c r="B18" s="19" t="s">
        <v>211</v>
      </c>
      <c r="C18" s="3" t="s">
        <v>23</v>
      </c>
      <c r="D18" s="10">
        <v>0</v>
      </c>
      <c r="E18" s="10">
        <v>1</v>
      </c>
    </row>
    <row r="19" spans="1:5" ht="90" x14ac:dyDescent="0.25">
      <c r="A19" s="18" t="s">
        <v>148</v>
      </c>
      <c r="B19" s="20" t="s">
        <v>149</v>
      </c>
      <c r="C19" s="17" t="s">
        <v>23</v>
      </c>
      <c r="D19" s="18">
        <v>0</v>
      </c>
      <c r="E19" s="18">
        <v>1</v>
      </c>
    </row>
    <row r="20" spans="1:5" x14ac:dyDescent="0.25">
      <c r="A20" s="10">
        <v>3</v>
      </c>
      <c r="B20" s="53" t="s">
        <v>70</v>
      </c>
      <c r="C20" s="3" t="s">
        <v>23</v>
      </c>
      <c r="D20" s="10">
        <v>0</v>
      </c>
      <c r="E20" s="10">
        <v>1</v>
      </c>
    </row>
    <row r="21" spans="1:5" x14ac:dyDescent="0.25">
      <c r="A21" s="18">
        <v>2</v>
      </c>
      <c r="B21" s="56" t="s">
        <v>153</v>
      </c>
      <c r="C21" s="17" t="s">
        <v>23</v>
      </c>
      <c r="D21" s="18">
        <v>0</v>
      </c>
      <c r="E21" s="18">
        <v>1</v>
      </c>
    </row>
    <row r="22" spans="1:5" x14ac:dyDescent="0.25">
      <c r="A22" s="10">
        <v>1</v>
      </c>
      <c r="B22" s="54" t="s">
        <v>154</v>
      </c>
      <c r="C22" s="3" t="s">
        <v>23</v>
      </c>
      <c r="D22" s="10">
        <v>0</v>
      </c>
      <c r="E22" s="10"/>
    </row>
    <row r="23" spans="1:5" x14ac:dyDescent="0.25">
      <c r="A23" s="18">
        <v>0</v>
      </c>
      <c r="B23" s="57" t="s">
        <v>89</v>
      </c>
      <c r="C23" s="17" t="s">
        <v>23</v>
      </c>
      <c r="D23" s="18">
        <v>0</v>
      </c>
      <c r="E23" s="18"/>
    </row>
    <row r="25" spans="1:5" x14ac:dyDescent="0.25">
      <c r="B25" s="5" t="s">
        <v>7</v>
      </c>
    </row>
    <row r="26" spans="1:5" ht="30" x14ac:dyDescent="0.25">
      <c r="B26" s="7" t="s">
        <v>150</v>
      </c>
    </row>
    <row r="27" spans="1:5" ht="105" x14ac:dyDescent="0.25">
      <c r="B27" s="7" t="s">
        <v>157</v>
      </c>
    </row>
    <row r="28" spans="1:5" ht="105" x14ac:dyDescent="0.25">
      <c r="B28" s="7" t="s">
        <v>158</v>
      </c>
    </row>
    <row r="29" spans="1:5" ht="105" x14ac:dyDescent="0.25">
      <c r="B29" s="7" t="s">
        <v>159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104</v>
      </c>
      <c r="B3" s="20" t="s">
        <v>2</v>
      </c>
      <c r="C3" s="17" t="s">
        <v>23</v>
      </c>
      <c r="D3" s="18"/>
      <c r="E3" s="18"/>
    </row>
    <row r="4" spans="1:5" x14ac:dyDescent="0.25">
      <c r="A4" s="10">
        <v>3</v>
      </c>
      <c r="B4" s="19" t="s">
        <v>103</v>
      </c>
      <c r="C4" s="3" t="s">
        <v>23</v>
      </c>
      <c r="D4" s="10">
        <v>0</v>
      </c>
      <c r="E4" s="10"/>
    </row>
    <row r="5" spans="1:5" x14ac:dyDescent="0.25">
      <c r="A5" s="18">
        <v>2</v>
      </c>
      <c r="B5" s="20" t="s">
        <v>103</v>
      </c>
      <c r="C5" s="17" t="s">
        <v>23</v>
      </c>
      <c r="D5" s="18">
        <v>0</v>
      </c>
      <c r="E5" s="18"/>
    </row>
    <row r="6" spans="1:5" x14ac:dyDescent="0.25">
      <c r="A6" s="10">
        <v>1</v>
      </c>
      <c r="B6" s="19" t="s">
        <v>102</v>
      </c>
      <c r="C6" s="3" t="s">
        <v>23</v>
      </c>
      <c r="D6" s="10">
        <v>0</v>
      </c>
      <c r="E6" s="10">
        <v>1</v>
      </c>
    </row>
    <row r="7" spans="1:5" x14ac:dyDescent="0.25">
      <c r="A7" s="18">
        <v>0</v>
      </c>
      <c r="B7" s="17" t="s">
        <v>105</v>
      </c>
      <c r="C7" s="17" t="s">
        <v>23</v>
      </c>
      <c r="D7" s="18">
        <v>0</v>
      </c>
      <c r="E7" s="18">
        <v>1</v>
      </c>
    </row>
    <row r="9" spans="1:5" x14ac:dyDescent="0.25">
      <c r="B9" s="8" t="s">
        <v>7</v>
      </c>
    </row>
    <row r="10" spans="1:5" ht="60" x14ac:dyDescent="0.25">
      <c r="B10" s="46" t="s">
        <v>198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E5F9-0FE0-4733-8864-8E28311F0D4F}">
  <dimension ref="A2:E10"/>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v>31</v>
      </c>
      <c r="B3" s="16" t="s">
        <v>170</v>
      </c>
      <c r="C3" s="17" t="s">
        <v>15</v>
      </c>
      <c r="D3" s="17">
        <v>0</v>
      </c>
      <c r="E3" s="18">
        <v>3</v>
      </c>
    </row>
    <row r="4" spans="1:5" x14ac:dyDescent="0.25">
      <c r="A4" s="24" t="s">
        <v>169</v>
      </c>
      <c r="B4" s="6" t="s">
        <v>166</v>
      </c>
      <c r="C4" s="3"/>
      <c r="D4" s="3"/>
      <c r="E4" s="10"/>
    </row>
    <row r="5" spans="1:5" x14ac:dyDescent="0.25">
      <c r="A5" s="18" t="s">
        <v>164</v>
      </c>
      <c r="B5" s="17" t="s">
        <v>165</v>
      </c>
      <c r="C5" s="17" t="s">
        <v>15</v>
      </c>
      <c r="D5" s="17" t="s">
        <v>62</v>
      </c>
      <c r="E5" s="18" t="s">
        <v>66</v>
      </c>
    </row>
    <row r="7" spans="1:5" x14ac:dyDescent="0.25">
      <c r="B7" s="5" t="s">
        <v>24</v>
      </c>
    </row>
    <row r="8" spans="1:5" ht="30" x14ac:dyDescent="0.25">
      <c r="B8" s="7" t="s">
        <v>167</v>
      </c>
    </row>
    <row r="9" spans="1:5" x14ac:dyDescent="0.25">
      <c r="B9" t="s">
        <v>168</v>
      </c>
    </row>
    <row r="10" spans="1:5" ht="30" x14ac:dyDescent="0.25">
      <c r="B10" s="7" t="s">
        <v>171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2"/>
  <sheetViews>
    <sheetView workbookViewId="0"/>
  </sheetViews>
  <sheetFormatPr defaultRowHeight="15" x14ac:dyDescent="0.25"/>
  <cols>
    <col min="1" max="1" width="11.140625" style="1" customWidth="1"/>
    <col min="2" max="2" width="91.42578125" customWidth="1"/>
    <col min="3" max="3" width="15.5703125" customWidth="1"/>
    <col min="4" max="4" width="14.28515625" customWidth="1"/>
    <col min="5" max="5" width="11.42578125" customWidth="1"/>
  </cols>
  <sheetData>
    <row r="2" spans="1:5" x14ac:dyDescent="0.25">
      <c r="A2" s="14" t="s">
        <v>0</v>
      </c>
      <c r="B2" s="14" t="s">
        <v>1</v>
      </c>
      <c r="C2" s="14" t="s">
        <v>20</v>
      </c>
      <c r="D2" s="12" t="s">
        <v>21</v>
      </c>
      <c r="E2" s="12" t="s">
        <v>22</v>
      </c>
    </row>
    <row r="3" spans="1:5" x14ac:dyDescent="0.25">
      <c r="A3" s="18" t="s">
        <v>64</v>
      </c>
      <c r="B3" s="20" t="s">
        <v>2</v>
      </c>
      <c r="C3" s="17"/>
      <c r="D3" s="18"/>
      <c r="E3" s="18"/>
    </row>
    <row r="4" spans="1:5" x14ac:dyDescent="0.25">
      <c r="A4" s="10" t="s">
        <v>63</v>
      </c>
      <c r="B4" s="3" t="s">
        <v>107</v>
      </c>
      <c r="C4" s="3" t="s">
        <v>23</v>
      </c>
      <c r="D4" s="10">
        <v>0</v>
      </c>
      <c r="E4" s="3">
        <v>1</v>
      </c>
    </row>
    <row r="6" spans="1:5" x14ac:dyDescent="0.25">
      <c r="B6" s="8" t="s">
        <v>7</v>
      </c>
    </row>
    <row r="7" spans="1:5" ht="85.5" x14ac:dyDescent="0.25">
      <c r="B7" s="27" t="s">
        <v>195</v>
      </c>
    </row>
    <row r="8" spans="1:5" ht="49.5" customHeight="1" x14ac:dyDescent="0.25">
      <c r="B8" s="28" t="s">
        <v>194</v>
      </c>
    </row>
    <row r="9" spans="1:5" ht="15" customHeight="1" x14ac:dyDescent="0.25"/>
    <row r="10" spans="1:5" x14ac:dyDescent="0.25">
      <c r="B10" s="26" t="s">
        <v>188</v>
      </c>
      <c r="C10" s="1">
        <v>100</v>
      </c>
      <c r="D10" t="s">
        <v>108</v>
      </c>
    </row>
    <row r="11" spans="1:5" x14ac:dyDescent="0.25">
      <c r="B11" s="26" t="s">
        <v>120</v>
      </c>
      <c r="C11" s="1">
        <v>0.98357099999999997</v>
      </c>
      <c r="D11" t="s">
        <v>118</v>
      </c>
    </row>
    <row r="12" spans="1:5" x14ac:dyDescent="0.25">
      <c r="B12" s="26" t="s">
        <v>119</v>
      </c>
      <c r="C12" s="37">
        <f>0.64*C11</f>
        <v>0.62948543999999995</v>
      </c>
      <c r="D12" t="s">
        <v>118</v>
      </c>
    </row>
    <row r="13" spans="1:5" x14ac:dyDescent="0.25">
      <c r="B13" s="26"/>
    </row>
    <row r="14" spans="1:5" x14ac:dyDescent="0.25">
      <c r="C14" s="50" t="s">
        <v>115</v>
      </c>
      <c r="D14" s="50"/>
      <c r="E14" s="32"/>
    </row>
    <row r="15" spans="1:5" x14ac:dyDescent="0.25">
      <c r="C15" s="33" t="s">
        <v>116</v>
      </c>
      <c r="D15" s="34">
        <v>6</v>
      </c>
      <c r="E15" s="32" t="s">
        <v>117</v>
      </c>
    </row>
    <row r="16" spans="1:5" x14ac:dyDescent="0.25">
      <c r="C16" s="33" t="s">
        <v>114</v>
      </c>
      <c r="D16" s="38">
        <f>(D15/C12)</f>
        <v>9.5315945671436033</v>
      </c>
      <c r="E16" s="32" t="s">
        <v>113</v>
      </c>
    </row>
    <row r="18" spans="3:5" x14ac:dyDescent="0.25">
      <c r="C18" s="51" t="s">
        <v>193</v>
      </c>
      <c r="D18" s="51"/>
    </row>
    <row r="19" spans="3:5" x14ac:dyDescent="0.25">
      <c r="C19" s="3" t="s">
        <v>189</v>
      </c>
      <c r="D19" s="43">
        <f>D16</f>
        <v>9.5315945671436033</v>
      </c>
      <c r="E19" t="s">
        <v>113</v>
      </c>
    </row>
    <row r="20" spans="3:5" x14ac:dyDescent="0.25">
      <c r="C20" s="3" t="s">
        <v>190</v>
      </c>
      <c r="D20" s="3">
        <v>170</v>
      </c>
      <c r="E20" t="s">
        <v>113</v>
      </c>
    </row>
    <row r="21" spans="3:5" x14ac:dyDescent="0.25">
      <c r="C21" s="3" t="s">
        <v>191</v>
      </c>
      <c r="D21" s="43">
        <f>SUM(D19:D20)</f>
        <v>179.5315945671436</v>
      </c>
      <c r="E21" t="s">
        <v>113</v>
      </c>
    </row>
    <row r="22" spans="3:5" x14ac:dyDescent="0.25">
      <c r="C22" s="3" t="s">
        <v>192</v>
      </c>
      <c r="D22" s="44">
        <f>ROUND((D21*C10)/1000,0)</f>
        <v>18</v>
      </c>
      <c r="E22" t="str">
        <f>"0x"&amp;DEC2HEX(D22)</f>
        <v>0x12</v>
      </c>
    </row>
  </sheetData>
  <mergeCells count="2">
    <mergeCell ref="C14:D14"/>
    <mergeCell ref="C18:D1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04A46-A2B1-4C4D-A25D-053B78867E5E}">
  <dimension ref="A2:E15"/>
  <sheetViews>
    <sheetView workbookViewId="0"/>
  </sheetViews>
  <sheetFormatPr defaultRowHeight="15" x14ac:dyDescent="0.25"/>
  <cols>
    <col min="1" max="1" width="11.140625" style="1" customWidth="1"/>
    <col min="2" max="2" width="93.5703125" customWidth="1"/>
    <col min="3" max="3" width="16.140625"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212</v>
      </c>
      <c r="C3" s="17" t="s">
        <v>23</v>
      </c>
      <c r="D3" s="18">
        <v>33</v>
      </c>
      <c r="E3" s="18">
        <v>1</v>
      </c>
    </row>
    <row r="5" spans="1:5" x14ac:dyDescent="0.25">
      <c r="B5" s="8" t="s">
        <v>7</v>
      </c>
    </row>
    <row r="6" spans="1:5" ht="30" x14ac:dyDescent="0.25">
      <c r="B6" s="7" t="s">
        <v>213</v>
      </c>
    </row>
    <row r="8" spans="1:5" ht="42.75" customHeight="1" x14ac:dyDescent="0.25"/>
    <row r="10" spans="1:5" x14ac:dyDescent="0.25">
      <c r="B10" s="39" t="s">
        <v>124</v>
      </c>
      <c r="C10" s="32">
        <v>100</v>
      </c>
      <c r="D10" s="32" t="s">
        <v>108</v>
      </c>
      <c r="E10" s="32"/>
    </row>
    <row r="11" spans="1:5" x14ac:dyDescent="0.25">
      <c r="B11" s="32"/>
      <c r="C11" s="32"/>
      <c r="D11" s="32"/>
      <c r="E11" s="32"/>
    </row>
    <row r="12" spans="1:5" x14ac:dyDescent="0.25">
      <c r="B12" s="32"/>
      <c r="C12" s="52" t="s">
        <v>125</v>
      </c>
      <c r="D12" s="52"/>
      <c r="E12" s="32"/>
    </row>
    <row r="13" spans="1:5" x14ac:dyDescent="0.25">
      <c r="B13" s="32"/>
      <c r="C13" s="33" t="s">
        <v>111</v>
      </c>
      <c r="D13" s="34">
        <v>333.33</v>
      </c>
      <c r="E13" s="32" t="s">
        <v>113</v>
      </c>
    </row>
    <row r="14" spans="1:5" x14ac:dyDescent="0.25">
      <c r="B14" s="32"/>
      <c r="C14" s="33" t="s">
        <v>110</v>
      </c>
      <c r="D14" s="35">
        <f>ROUND((D13*C10)/1000,0)</f>
        <v>33</v>
      </c>
      <c r="E14" s="32"/>
    </row>
    <row r="15" spans="1:5" x14ac:dyDescent="0.25">
      <c r="B15" s="32"/>
      <c r="C15" s="33" t="s">
        <v>112</v>
      </c>
      <c r="D15" s="36">
        <f>(D14/C10)*1000</f>
        <v>330</v>
      </c>
      <c r="E15" s="32" t="s">
        <v>113</v>
      </c>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2ED5-24D4-4770-8C36-6B8A3FA2E414}">
  <dimension ref="A2:E7"/>
  <sheetViews>
    <sheetView workbookViewId="0"/>
  </sheetViews>
  <sheetFormatPr defaultRowHeight="15" x14ac:dyDescent="0.25"/>
  <cols>
    <col min="1" max="1" width="11.140625" style="1" customWidth="1"/>
    <col min="2" max="2" width="93.5703125" customWidth="1"/>
    <col min="3" max="3" width="16.140625"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215</v>
      </c>
      <c r="B3" s="20" t="s">
        <v>166</v>
      </c>
      <c r="C3" s="17" t="s">
        <v>23</v>
      </c>
      <c r="D3" s="18"/>
      <c r="E3" s="18"/>
    </row>
    <row r="4" spans="1:5" x14ac:dyDescent="0.25">
      <c r="A4" s="59" t="s">
        <v>214</v>
      </c>
      <c r="B4" s="53" t="s">
        <v>218</v>
      </c>
      <c r="C4" s="58" t="s">
        <v>23</v>
      </c>
      <c r="D4" s="59" t="s">
        <v>216</v>
      </c>
      <c r="E4" s="59">
        <v>1</v>
      </c>
    </row>
    <row r="6" spans="1:5" x14ac:dyDescent="0.25">
      <c r="B6" s="8" t="s">
        <v>7</v>
      </c>
    </row>
    <row r="7" spans="1:5" ht="30" x14ac:dyDescent="0.25">
      <c r="B7" s="7" t="s">
        <v>217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601E-74B4-4DAF-92DC-97E59614230E}">
  <dimension ref="A2:E13"/>
  <sheetViews>
    <sheetView workbookViewId="0"/>
  </sheetViews>
  <sheetFormatPr defaultRowHeight="15" x14ac:dyDescent="0.25"/>
  <cols>
    <col min="1" max="1" width="11.140625" style="1" customWidth="1"/>
    <col min="2" max="2" width="95.28515625" customWidth="1"/>
    <col min="3" max="3" width="16.140625"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222</v>
      </c>
      <c r="C3" s="18" t="s">
        <v>14</v>
      </c>
      <c r="D3" s="18">
        <v>0</v>
      </c>
      <c r="E3" s="18" t="s">
        <v>66</v>
      </c>
    </row>
    <row r="5" spans="1:5" x14ac:dyDescent="0.25">
      <c r="B5" s="8" t="s">
        <v>7</v>
      </c>
    </row>
    <row r="6" spans="1:5" ht="45" x14ac:dyDescent="0.25">
      <c r="B6" s="7" t="s">
        <v>223</v>
      </c>
    </row>
    <row r="7" spans="1:5" ht="30" x14ac:dyDescent="0.25">
      <c r="B7" s="7" t="s">
        <v>221</v>
      </c>
    </row>
    <row r="9" spans="1:5" x14ac:dyDescent="0.25">
      <c r="B9" s="39" t="s">
        <v>124</v>
      </c>
      <c r="C9" s="32">
        <v>100</v>
      </c>
      <c r="D9" s="32" t="s">
        <v>108</v>
      </c>
      <c r="E9" s="32"/>
    </row>
    <row r="10" spans="1:5" x14ac:dyDescent="0.25">
      <c r="B10" s="32"/>
      <c r="C10" s="32"/>
      <c r="D10" s="32"/>
      <c r="E10" s="32"/>
    </row>
    <row r="11" spans="1:5" x14ac:dyDescent="0.25">
      <c r="B11" s="32"/>
      <c r="C11" s="52" t="s">
        <v>220</v>
      </c>
      <c r="D11" s="52"/>
      <c r="E11" s="32"/>
    </row>
    <row r="12" spans="1:5" x14ac:dyDescent="0.25">
      <c r="B12" s="32"/>
      <c r="C12" s="33" t="s">
        <v>110</v>
      </c>
      <c r="D12" s="34">
        <v>2000</v>
      </c>
      <c r="E12" s="32"/>
    </row>
    <row r="13" spans="1:5" x14ac:dyDescent="0.25">
      <c r="B13" s="32"/>
      <c r="C13" s="33" t="s">
        <v>112</v>
      </c>
      <c r="D13" s="36">
        <f>(D12/C9)</f>
        <v>20</v>
      </c>
      <c r="E13" s="32" t="s">
        <v>219</v>
      </c>
    </row>
  </sheetData>
  <mergeCells count="1">
    <mergeCell ref="C11:D1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8B2E-2D8E-4E2D-9717-057816E7C9B7}">
  <dimension ref="A2:E14"/>
  <sheetViews>
    <sheetView workbookViewId="0"/>
  </sheetViews>
  <sheetFormatPr defaultRowHeight="15" x14ac:dyDescent="0.25"/>
  <cols>
    <col min="1" max="1" width="11.140625" style="1" customWidth="1"/>
    <col min="2" max="2" width="95.28515625" customWidth="1"/>
    <col min="3" max="3" width="16.140625"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225</v>
      </c>
      <c r="C3" s="18" t="s">
        <v>14</v>
      </c>
      <c r="D3" s="18">
        <v>65</v>
      </c>
      <c r="E3" s="18" t="s">
        <v>66</v>
      </c>
    </row>
    <row r="5" spans="1:5" x14ac:dyDescent="0.25">
      <c r="B5" s="8" t="s">
        <v>7</v>
      </c>
    </row>
    <row r="6" spans="1:5" ht="90" x14ac:dyDescent="0.25">
      <c r="B6" s="7" t="s">
        <v>227</v>
      </c>
    </row>
    <row r="7" spans="1:5" x14ac:dyDescent="0.25">
      <c r="B7" s="7" t="s">
        <v>226</v>
      </c>
    </row>
    <row r="8" spans="1:5" x14ac:dyDescent="0.25">
      <c r="B8" s="7"/>
    </row>
    <row r="10" spans="1:5" x14ac:dyDescent="0.25">
      <c r="B10" s="39" t="s">
        <v>124</v>
      </c>
      <c r="C10" s="32">
        <v>100</v>
      </c>
      <c r="D10" s="32" t="s">
        <v>108</v>
      </c>
      <c r="E10" s="32"/>
    </row>
    <row r="11" spans="1:5" x14ac:dyDescent="0.25">
      <c r="B11" s="32"/>
      <c r="C11" s="32"/>
      <c r="D11" s="32"/>
      <c r="E11" s="32"/>
    </row>
    <row r="12" spans="1:5" x14ac:dyDescent="0.25">
      <c r="B12" s="32"/>
      <c r="C12" s="52" t="s">
        <v>220</v>
      </c>
      <c r="D12" s="52"/>
      <c r="E12" s="32"/>
    </row>
    <row r="13" spans="1:5" x14ac:dyDescent="0.25">
      <c r="B13" s="32"/>
      <c r="C13" s="33" t="s">
        <v>110</v>
      </c>
      <c r="D13" s="34">
        <v>685</v>
      </c>
      <c r="E13" s="32"/>
    </row>
    <row r="14" spans="1:5" x14ac:dyDescent="0.25">
      <c r="B14" s="32"/>
      <c r="C14" s="33" t="s">
        <v>112</v>
      </c>
      <c r="D14" s="36">
        <f>(D13/C10)</f>
        <v>6.85</v>
      </c>
      <c r="E14" s="32" t="s">
        <v>219</v>
      </c>
    </row>
  </sheetData>
  <mergeCells count="1">
    <mergeCell ref="C12:D1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25</v>
      </c>
      <c r="C4" s="3" t="s">
        <v>14</v>
      </c>
      <c r="D4" s="10" t="s">
        <v>19</v>
      </c>
      <c r="E4" s="10">
        <v>1</v>
      </c>
    </row>
    <row r="6" spans="1:5" x14ac:dyDescent="0.25">
      <c r="B6" s="8" t="s">
        <v>7</v>
      </c>
    </row>
    <row r="7" spans="1:5" ht="57.75" x14ac:dyDescent="0.25">
      <c r="B7" s="29" t="s">
        <v>130</v>
      </c>
    </row>
    <row r="8" spans="1:5" ht="39.75" customHeight="1" x14ac:dyDescent="0.25"/>
    <row r="9" spans="1:5" x14ac:dyDescent="0.25">
      <c r="B9" s="7" t="s">
        <v>26</v>
      </c>
    </row>
    <row r="10" spans="1:5" ht="36" customHeight="1" x14ac:dyDescent="0.25"/>
    <row r="11" spans="1:5" x14ac:dyDescent="0.25">
      <c r="B11" s="39" t="s">
        <v>135</v>
      </c>
      <c r="C11" s="1">
        <v>16</v>
      </c>
    </row>
    <row r="12" spans="1:5" ht="16.5" customHeight="1" x14ac:dyDescent="0.25">
      <c r="C12" s="52" t="s">
        <v>131</v>
      </c>
      <c r="D12" s="52"/>
      <c r="E12" s="32"/>
    </row>
    <row r="13" spans="1:5" x14ac:dyDescent="0.25">
      <c r="C13" s="33" t="s">
        <v>132</v>
      </c>
      <c r="D13" s="34">
        <v>40000</v>
      </c>
      <c r="E13" s="32" t="s">
        <v>136</v>
      </c>
    </row>
    <row r="14" spans="1:5" x14ac:dyDescent="0.25">
      <c r="C14" s="33" t="s">
        <v>133</v>
      </c>
      <c r="D14" s="35">
        <f>((D13*509.3140064)/(2^C11))-280.2308787</f>
        <v>30.62972090937501</v>
      </c>
      <c r="E14" s="32" t="s">
        <v>134</v>
      </c>
    </row>
    <row r="16" spans="1:5" x14ac:dyDescent="0.25">
      <c r="C16" s="33" t="s">
        <v>137</v>
      </c>
      <c r="D16" s="34" t="s">
        <v>139</v>
      </c>
      <c r="E16" s="32" t="s">
        <v>138</v>
      </c>
    </row>
    <row r="17" spans="3:5" x14ac:dyDescent="0.25">
      <c r="C17" s="33" t="s">
        <v>133</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25</v>
      </c>
      <c r="C4" s="3" t="s">
        <v>14</v>
      </c>
      <c r="D4" s="10" t="s">
        <v>19</v>
      </c>
      <c r="E4" s="10">
        <v>1</v>
      </c>
    </row>
    <row r="6" spans="1:5" x14ac:dyDescent="0.25">
      <c r="B6" s="8" t="s">
        <v>7</v>
      </c>
    </row>
    <row r="7" spans="1:5" ht="78.75" customHeight="1" x14ac:dyDescent="0.25">
      <c r="B7" s="29" t="s">
        <v>43</v>
      </c>
    </row>
    <row r="8" spans="1:5" ht="39.75" customHeight="1" x14ac:dyDescent="0.25"/>
    <row r="9" spans="1:5" x14ac:dyDescent="0.25">
      <c r="B9" s="7" t="s">
        <v>44</v>
      </c>
    </row>
    <row r="10" spans="1:5" ht="36" customHeight="1" x14ac:dyDescent="0.25"/>
    <row r="11" spans="1:5" ht="16.5" customHeight="1" x14ac:dyDescent="0.25"/>
    <row r="12" spans="1:5" x14ac:dyDescent="0.25">
      <c r="B12" s="39" t="s">
        <v>135</v>
      </c>
      <c r="C12" s="1">
        <v>16</v>
      </c>
      <c r="D12" s="32"/>
      <c r="E12" s="32"/>
    </row>
    <row r="13" spans="1:5" x14ac:dyDescent="0.25">
      <c r="B13" s="32"/>
      <c r="C13" s="52" t="s">
        <v>140</v>
      </c>
      <c r="D13" s="52"/>
      <c r="E13" s="32"/>
    </row>
    <row r="14" spans="1:5" x14ac:dyDescent="0.25">
      <c r="B14" s="32"/>
      <c r="C14" s="33" t="s">
        <v>132</v>
      </c>
      <c r="D14" s="34">
        <v>40000</v>
      </c>
      <c r="E14" s="32" t="s">
        <v>136</v>
      </c>
    </row>
    <row r="15" spans="1:5" x14ac:dyDescent="0.25">
      <c r="B15" s="32"/>
      <c r="C15" s="33" t="s">
        <v>141</v>
      </c>
      <c r="D15" s="35">
        <f>(D14/(2^C12))*3</f>
        <v>1.8310546875</v>
      </c>
      <c r="E15" s="32" t="s">
        <v>142</v>
      </c>
    </row>
    <row r="16" spans="1:5" x14ac:dyDescent="0.25">
      <c r="B16" s="32"/>
    </row>
    <row r="17" spans="2:5" x14ac:dyDescent="0.25">
      <c r="B17" s="32"/>
      <c r="C17" s="33" t="s">
        <v>137</v>
      </c>
      <c r="D17" s="34" t="s">
        <v>139</v>
      </c>
      <c r="E17" s="32" t="s">
        <v>138</v>
      </c>
    </row>
    <row r="18" spans="2:5" x14ac:dyDescent="0.25">
      <c r="B18" s="32"/>
      <c r="C18" s="33" t="s">
        <v>141</v>
      </c>
      <c r="D18" s="35">
        <f>(HEX2DEC(D17)/(2^C12))*3</f>
        <v>1.8310546875</v>
      </c>
      <c r="E18" s="32" t="s">
        <v>142</v>
      </c>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sheetData>
  <mergeCells count="1">
    <mergeCell ref="C13:D13"/>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77</v>
      </c>
      <c r="B3" s="16" t="s">
        <v>2</v>
      </c>
      <c r="C3" s="17"/>
      <c r="D3" s="18"/>
      <c r="E3" s="18"/>
    </row>
    <row r="4" spans="1:5" ht="15" customHeight="1" x14ac:dyDescent="0.25">
      <c r="A4" s="24">
        <v>23</v>
      </c>
      <c r="B4" s="6" t="s">
        <v>76</v>
      </c>
      <c r="C4" s="3" t="s">
        <v>23</v>
      </c>
      <c r="D4" s="10">
        <v>0</v>
      </c>
      <c r="E4" s="10"/>
    </row>
    <row r="5" spans="1:5" ht="15" customHeight="1" x14ac:dyDescent="0.25">
      <c r="A5" s="15">
        <v>22</v>
      </c>
      <c r="B5" s="16" t="s">
        <v>162</v>
      </c>
      <c r="C5" s="17" t="s">
        <v>23</v>
      </c>
      <c r="D5" s="18">
        <v>0</v>
      </c>
      <c r="E5" s="18">
        <v>1</v>
      </c>
    </row>
    <row r="6" spans="1:5" ht="96.75" customHeight="1" x14ac:dyDescent="0.25">
      <c r="A6" s="24" t="s">
        <v>75</v>
      </c>
      <c r="B6" s="6" t="s">
        <v>163</v>
      </c>
      <c r="C6" s="3" t="s">
        <v>23</v>
      </c>
      <c r="D6" s="10">
        <v>0</v>
      </c>
      <c r="E6" s="10"/>
    </row>
    <row r="7" spans="1:5" ht="15" customHeight="1" x14ac:dyDescent="0.25">
      <c r="A7" s="15" t="s">
        <v>73</v>
      </c>
      <c r="B7" s="16" t="s">
        <v>74</v>
      </c>
      <c r="C7" s="17" t="s">
        <v>23</v>
      </c>
      <c r="D7" s="18">
        <v>0</v>
      </c>
      <c r="E7" s="18"/>
    </row>
    <row r="8" spans="1:5" ht="15" customHeight="1" x14ac:dyDescent="0.25">
      <c r="A8" s="24" t="s">
        <v>78</v>
      </c>
      <c r="B8" s="6" t="s">
        <v>81</v>
      </c>
      <c r="C8" s="3" t="s">
        <v>23</v>
      </c>
      <c r="D8" s="10">
        <v>0</v>
      </c>
      <c r="E8" s="10"/>
    </row>
    <row r="9" spans="1:5" ht="15" customHeight="1" x14ac:dyDescent="0.25">
      <c r="A9" s="15" t="s">
        <v>80</v>
      </c>
      <c r="B9" s="16" t="s">
        <v>82</v>
      </c>
      <c r="C9" s="17" t="s">
        <v>23</v>
      </c>
      <c r="D9" s="18">
        <v>0</v>
      </c>
      <c r="E9" s="18"/>
    </row>
    <row r="10" spans="1:5" ht="15" customHeight="1" x14ac:dyDescent="0.25">
      <c r="A10" s="24">
        <v>1</v>
      </c>
      <c r="B10" s="6" t="s">
        <v>106</v>
      </c>
      <c r="C10" s="3" t="s">
        <v>23</v>
      </c>
      <c r="D10" s="10">
        <v>0</v>
      </c>
      <c r="E10" s="10">
        <v>1</v>
      </c>
    </row>
    <row r="11" spans="1:5" ht="15" customHeight="1" x14ac:dyDescent="0.25">
      <c r="A11" s="15">
        <v>0</v>
      </c>
      <c r="B11" s="16" t="s">
        <v>72</v>
      </c>
      <c r="C11" s="17" t="s">
        <v>23</v>
      </c>
      <c r="D11" s="18">
        <v>0</v>
      </c>
      <c r="E11" s="18"/>
    </row>
    <row r="12" spans="1:5" ht="15" customHeight="1" x14ac:dyDescent="0.25">
      <c r="A12" s="25"/>
      <c r="B12" s="4"/>
      <c r="D12" s="22"/>
      <c r="E12" s="22"/>
    </row>
    <row r="14" spans="1:5" x14ac:dyDescent="0.25">
      <c r="B14" s="11" t="s">
        <v>7</v>
      </c>
    </row>
    <row r="15" spans="1:5" ht="25.5" x14ac:dyDescent="0.25">
      <c r="B15" s="4" t="s">
        <v>143</v>
      </c>
    </row>
    <row r="16" spans="1:5" x14ac:dyDescent="0.25">
      <c r="B16" s="7"/>
    </row>
    <row r="17" spans="2:2" x14ac:dyDescent="0.25">
      <c r="B17" s="7"/>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election activeCell="B27" sqref="B27"/>
    </sheetView>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46</v>
      </c>
      <c r="B3" s="20" t="s">
        <v>2</v>
      </c>
      <c r="C3" s="17" t="s">
        <v>19</v>
      </c>
      <c r="D3" s="18"/>
      <c r="E3" s="18"/>
    </row>
    <row r="4" spans="1:5" x14ac:dyDescent="0.25">
      <c r="A4" s="10" t="s">
        <v>65</v>
      </c>
      <c r="B4" s="3" t="s">
        <v>121</v>
      </c>
      <c r="C4" s="3" t="s">
        <v>23</v>
      </c>
      <c r="D4" s="10">
        <v>0</v>
      </c>
      <c r="E4" s="10" t="s">
        <v>66</v>
      </c>
    </row>
    <row r="6" spans="1:5" x14ac:dyDescent="0.25">
      <c r="B6" s="8" t="s">
        <v>7</v>
      </c>
    </row>
    <row r="7" spans="1:5" ht="29.25" x14ac:dyDescent="0.25">
      <c r="B7" s="29" t="s">
        <v>122</v>
      </c>
    </row>
    <row r="8" spans="1:5" ht="29.25" x14ac:dyDescent="0.25">
      <c r="B8" s="29" t="s">
        <v>123</v>
      </c>
    </row>
    <row r="9" spans="1:5" ht="49.5" customHeight="1" x14ac:dyDescent="0.25"/>
    <row r="10" spans="1:5" x14ac:dyDescent="0.25">
      <c r="B10" s="39" t="s">
        <v>124</v>
      </c>
      <c r="C10" s="32">
        <v>100</v>
      </c>
      <c r="D10" s="32" t="s">
        <v>108</v>
      </c>
      <c r="E10" s="32"/>
    </row>
    <row r="11" spans="1:5" x14ac:dyDescent="0.25">
      <c r="B11" s="32"/>
      <c r="C11" s="32"/>
      <c r="D11" s="32"/>
      <c r="E11" s="32"/>
    </row>
    <row r="12" spans="1:5" x14ac:dyDescent="0.25">
      <c r="B12" s="32"/>
      <c r="C12" s="52" t="s">
        <v>125</v>
      </c>
      <c r="D12" s="52"/>
      <c r="E12" s="32"/>
    </row>
    <row r="13" spans="1:5" x14ac:dyDescent="0.25">
      <c r="B13" s="32"/>
      <c r="C13" s="33" t="s">
        <v>111</v>
      </c>
      <c r="D13" s="34">
        <v>50</v>
      </c>
      <c r="E13" s="32" t="s">
        <v>113</v>
      </c>
    </row>
    <row r="14" spans="1:5" x14ac:dyDescent="0.25">
      <c r="B14" s="32"/>
      <c r="C14" s="33" t="s">
        <v>110</v>
      </c>
      <c r="D14" s="35">
        <f>ROUND((D13*C10)/1000,0)</f>
        <v>5</v>
      </c>
      <c r="E14" s="32"/>
    </row>
    <row r="15" spans="1:5" x14ac:dyDescent="0.25">
      <c r="B15" s="32"/>
      <c r="C15" s="33" t="s">
        <v>112</v>
      </c>
      <c r="D15" s="36">
        <f>(D14/C10)*1000</f>
        <v>50</v>
      </c>
      <c r="E15" s="32" t="s">
        <v>113</v>
      </c>
    </row>
    <row r="16" spans="1:5" x14ac:dyDescent="0.25">
      <c r="B16" s="32"/>
      <c r="C16" s="32"/>
      <c r="D16" s="32"/>
      <c r="E16" s="32"/>
    </row>
    <row r="17" spans="2:5" x14ac:dyDescent="0.25">
      <c r="B17" s="32"/>
      <c r="C17" s="32"/>
      <c r="D17" s="32"/>
      <c r="E17" s="32"/>
    </row>
    <row r="18" spans="2:5" x14ac:dyDescent="0.25">
      <c r="B18" s="32"/>
      <c r="C18" s="32"/>
      <c r="D18" s="32"/>
      <c r="E18" s="32"/>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row r="24" spans="2:5" x14ac:dyDescent="0.25">
      <c r="B24" s="32"/>
      <c r="C24" s="32"/>
      <c r="D24" s="32"/>
      <c r="E24" s="32"/>
    </row>
    <row r="25" spans="2:5" x14ac:dyDescent="0.25">
      <c r="B25" s="32"/>
      <c r="C25" s="32"/>
      <c r="D25" s="32"/>
      <c r="E25" s="32"/>
    </row>
    <row r="26" spans="2:5" x14ac:dyDescent="0.25">
      <c r="B26" s="32"/>
      <c r="C26" s="32"/>
      <c r="D26" s="32"/>
      <c r="E26" s="32"/>
    </row>
    <row r="27" spans="2:5" x14ac:dyDescent="0.25">
      <c r="B27" s="32"/>
      <c r="C27" s="32"/>
      <c r="D27" s="32"/>
      <c r="E27" s="32"/>
    </row>
    <row r="28" spans="2:5" x14ac:dyDescent="0.25">
      <c r="B28" s="32"/>
      <c r="C28" s="32"/>
      <c r="D28" s="32"/>
      <c r="E28" s="32"/>
    </row>
    <row r="29" spans="2:5" x14ac:dyDescent="0.2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Memory Map</vt:lpstr>
      <vt:lpstr>FW Revision</vt:lpstr>
      <vt:lpstr>Overall Status</vt:lpstr>
      <vt:lpstr>Main Control</vt:lpstr>
      <vt:lpstr>Ksine</vt:lpstr>
      <vt:lpstr>DU_SW</vt:lpstr>
      <vt:lpstr>Scan_Limit_Result</vt:lpstr>
      <vt:lpstr>System_Status</vt:lpstr>
      <vt:lpstr>SWCR Status Bits</vt:lpstr>
      <vt:lpstr>ARM Status</vt:lpstr>
      <vt:lpstr>DCU Enable</vt:lpstr>
      <vt:lpstr>Start Delay SPI Reaback</vt:lpstr>
      <vt:lpstr>Read Delay After RLTD</vt:lpstr>
      <vt:lpstr>Addres for RLTD Log</vt:lpstr>
      <vt:lpstr>Data From RLTD Log</vt:lpstr>
      <vt:lpstr>Transaction Time</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2026-06-14T19:37:39Z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y fmtid="{D5CDD505-2E9C-101B-9397-08002B2CF9AE}" pid="4" name="MSIP_Label_a8646e0b-a435-48bd-bb2e-6a777753dede_Enabled">
    <vt:lpwstr>true</vt:lpwstr>
  </property>
  <property fmtid="{D5CDD505-2E9C-101B-9397-08002B2CF9AE}" pid="5" name="MSIP_Label_a8646e0b-a435-48bd-bb2e-6a777753dede_SetDate">
    <vt:lpwstr>2026-06-10T14:50:29Z</vt:lpwstr>
  </property>
  <property fmtid="{D5CDD505-2E9C-101B-9397-08002B2CF9AE}" pid="6" name="MSIP_Label_a8646e0b-a435-48bd-bb2e-6a777753dede_Method">
    <vt:lpwstr>Privileged</vt:lpwstr>
  </property>
  <property fmtid="{D5CDD505-2E9C-101B-9397-08002B2CF9AE}" pid="7" name="MSIP_Label_a8646e0b-a435-48bd-bb2e-6a777753dede_Name">
    <vt:lpwstr>Unrestricted</vt:lpwstr>
  </property>
  <property fmtid="{D5CDD505-2E9C-101B-9397-08002B2CF9AE}" pid="8" name="MSIP_Label_a8646e0b-a435-48bd-bb2e-6a777753dede_SiteId">
    <vt:lpwstr>ba488c5e-f105-4a2b-a8b1-b57b26a44117</vt:lpwstr>
  </property>
  <property fmtid="{D5CDD505-2E9C-101B-9397-08002B2CF9AE}" pid="9" name="MSIP_Label_a8646e0b-a435-48bd-bb2e-6a777753dede_ActionId">
    <vt:lpwstr>4c46a0a2-7754-43db-ab9d-0ad02ef28a8d</vt:lpwstr>
  </property>
  <property fmtid="{D5CDD505-2E9C-101B-9397-08002B2CF9AE}" pid="10" name="MSIP_Label_a8646e0b-a435-48bd-bb2e-6a777753dede_ContentBits">
    <vt:lpwstr>0</vt:lpwstr>
  </property>
  <property fmtid="{D5CDD505-2E9C-101B-9397-08002B2CF9AE}" pid="11" name="MSIP_Label_a8646e0b-a435-48bd-bb2e-6a777753dede_Tag">
    <vt:lpwstr>10, 0, 1, 1</vt:lpwstr>
  </property>
</Properties>
</file>