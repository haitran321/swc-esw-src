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PGA_Designs\IRT\L3H\SWCR\zcu104_du\docs\"/>
    </mc:Choice>
  </mc:AlternateContent>
  <xr:revisionPtr revIDLastSave="0" documentId="13_ncr:1_{0F236B24-BE6C-407C-94FE-160908AA412D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Memory Map" sheetId="2" r:id="rId1"/>
    <sheet name="FW Revision" sheetId="4" r:id="rId2"/>
    <sheet name="Overall Status" sheetId="5" r:id="rId3"/>
    <sheet name="Main Control" sheetId="1" r:id="rId4"/>
    <sheet name="Ksine" sheetId="25" r:id="rId5"/>
    <sheet name="SW" sheetId="33" r:id="rId6"/>
    <sheet name="Scan_lim_Result" sheetId="42" r:id="rId7"/>
    <sheet name="Die Temperature" sheetId="27" r:id="rId8"/>
    <sheet name="Voltage" sheetId="41" r:id="rId9"/>
    <sheet name="Diagnostic R-W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B4" i="2"/>
  <c r="B5" i="2" s="1"/>
  <c r="C4" i="2" l="1"/>
  <c r="B6" i="2"/>
  <c r="C5" i="2"/>
  <c r="B7" i="2" l="1"/>
  <c r="C6" i="2"/>
  <c r="B8" i="2" l="1"/>
  <c r="C7" i="2"/>
  <c r="B9" i="2" l="1"/>
  <c r="C8" i="2"/>
  <c r="B10" i="2" l="1"/>
  <c r="C9" i="2"/>
  <c r="B11" i="2" l="1"/>
  <c r="C10" i="2"/>
  <c r="B12" i="2" l="1"/>
  <c r="C11" i="2"/>
  <c r="B13" i="2" l="1"/>
  <c r="C12" i="2"/>
  <c r="B14" i="2" l="1"/>
  <c r="C13" i="2"/>
  <c r="B15" i="2" l="1"/>
  <c r="C14" i="2"/>
  <c r="B16" i="2" l="1"/>
  <c r="C15" i="2"/>
  <c r="B17" i="2" l="1"/>
  <c r="C16" i="2"/>
  <c r="B18" i="2" l="1"/>
  <c r="C17" i="2"/>
  <c r="B19" i="2" l="1"/>
  <c r="C18" i="2"/>
  <c r="B20" i="2" l="1"/>
  <c r="C19" i="2"/>
  <c r="B21" i="2" l="1"/>
  <c r="C20" i="2"/>
  <c r="B22" i="2" l="1"/>
  <c r="C21" i="2"/>
  <c r="B23" i="2" l="1"/>
  <c r="C22" i="2"/>
  <c r="B24" i="2" l="1"/>
  <c r="C23" i="2"/>
  <c r="B25" i="2" l="1"/>
  <c r="C24" i="2"/>
  <c r="B26" i="2" l="1"/>
  <c r="C25" i="2"/>
  <c r="B27" i="2" l="1"/>
  <c r="C26" i="2"/>
  <c r="B28" i="2" l="1"/>
  <c r="C27" i="2"/>
  <c r="B29" i="2" l="1"/>
  <c r="C28" i="2"/>
  <c r="B30" i="2" l="1"/>
  <c r="B31" i="2" s="1"/>
  <c r="C29" i="2"/>
  <c r="B32" i="2" l="1"/>
  <c r="C31" i="2"/>
  <c r="C30" i="2"/>
  <c r="B33" i="2" l="1"/>
  <c r="C32" i="2"/>
  <c r="B34" i="2" l="1"/>
  <c r="C33" i="2"/>
  <c r="C34" i="2" l="1"/>
</calcChain>
</file>

<file path=xl/sharedStrings.xml><?xml version="1.0" encoding="utf-8"?>
<sst xmlns="http://schemas.openxmlformats.org/spreadsheetml/2006/main" count="200" uniqueCount="66">
  <si>
    <t>BITS</t>
  </si>
  <si>
    <t>FUNCTION</t>
  </si>
  <si>
    <t>Not Used</t>
  </si>
  <si>
    <t>Register Name</t>
  </si>
  <si>
    <t>31..0</t>
  </si>
  <si>
    <t>15..0</t>
  </si>
  <si>
    <t>31..16</t>
  </si>
  <si>
    <t>Notes:</t>
  </si>
  <si>
    <t>Buffer to read and write information (mainly used for passing diagnostics information).  FPGA will take no action.</t>
  </si>
  <si>
    <t>Diagnostic R-W: Buffer for reading and writing information - Read/Write</t>
  </si>
  <si>
    <t>Reg #</t>
  </si>
  <si>
    <t>Addr Offset</t>
  </si>
  <si>
    <t>Direction</t>
  </si>
  <si>
    <t>FW Revision</t>
  </si>
  <si>
    <t>Read Only</t>
  </si>
  <si>
    <t>Write/Read</t>
  </si>
  <si>
    <t>Spare</t>
  </si>
  <si>
    <t>FPGA Revision:  15..8 Major Revision 7..0 minor revision.  Ex: 0x030B = Rev 3.11</t>
  </si>
  <si>
    <t>Read</t>
  </si>
  <si>
    <t>N/A</t>
  </si>
  <si>
    <t>R/W</t>
  </si>
  <si>
    <t>Default</t>
  </si>
  <si>
    <t>Notes</t>
  </si>
  <si>
    <t>Write/(read)</t>
  </si>
  <si>
    <t>0x00000000</t>
  </si>
  <si>
    <t>NOTES:</t>
  </si>
  <si>
    <t>15..13</t>
  </si>
  <si>
    <t>ADC value of the Die Temperature Voltage reading</t>
  </si>
  <si>
    <t>[2] For referance ONLY:  Voltage to the internal ADC:</t>
  </si>
  <si>
    <t>[1] The following Equation can be used to calculate the Temperature in celcius based on the ADC count value.  Note:  Either the MSB 10-bits can used or the whole 16-bit value can be used for the below equaiton.  The ADCs are only 10-bit but the eniter 16-bits can used when averaging (averaging is set to 16 in the current design.</t>
  </si>
  <si>
    <t>Overall Status</t>
  </si>
  <si>
    <t>Die Temperature</t>
  </si>
  <si>
    <t>Reserved</t>
  </si>
  <si>
    <t>9..0</t>
  </si>
  <si>
    <t>31..10</t>
  </si>
  <si>
    <t>Mian Control</t>
  </si>
  <si>
    <t>arm_ksine_alpha</t>
  </si>
  <si>
    <t>arm_ksine_beta</t>
  </si>
  <si>
    <t>atb_sw_alpha (incoming steering word from the ATB)</t>
  </si>
  <si>
    <t>atb_sw_beta (incoming steering word from the ATB)</t>
  </si>
  <si>
    <t>VCCINT Voltage</t>
  </si>
  <si>
    <t>VCCAUX Voltge</t>
  </si>
  <si>
    <t>Ready status: 1 = ZCU104 RDU ready</t>
  </si>
  <si>
    <t>High Temperature alarm</t>
  </si>
  <si>
    <t>VCCINT Alarm</t>
  </si>
  <si>
    <t>VCCAUX Alarm</t>
  </si>
  <si>
    <t>VBRAM Alarm</t>
  </si>
  <si>
    <t>30 .. 7</t>
  </si>
  <si>
    <t>Unassigned</t>
  </si>
  <si>
    <t>Soft reset.  When toggled from 0 --&gt; 1 several data registers and state machines will be reset. Must be set back to 0 to restart.</t>
  </si>
  <si>
    <t>Steering Word from the ATB</t>
  </si>
  <si>
    <t>VBRAM Voltage</t>
  </si>
  <si>
    <t>[1] The following Equation can be used to calculate the Internal system voltage based on the ADC count value.  Note:  Either the MSB 10-bits can used or the whole 16-bit value can be used for the below equaiton.  The ADCs are only 10-bit but the eniter 16-bits can used when averaging (averaging is set to 16 in the current design).</t>
  </si>
  <si>
    <t>Example using all 16-bits:</t>
  </si>
  <si>
    <t>Scan Limit Result</t>
  </si>
  <si>
    <t>ARM Ksine Value.  Used in test mode instead of the value from the ATB</t>
  </si>
  <si>
    <t>Not used</t>
  </si>
  <si>
    <t>u check result: 0=Fail, 1=Pass</t>
  </si>
  <si>
    <t>Scan Limit Status: 0=Fail, 1=Pass</t>
  </si>
  <si>
    <t>v check result: 0=Fail, 1=Pass</t>
  </si>
  <si>
    <t>w check result: 0=Fail, 1=Pass</t>
  </si>
  <si>
    <t>sin_el check result: 0=Fail, 1=Pass</t>
  </si>
  <si>
    <t>Trigger for Test Mode:  Toggle from 0 to 1 to run scan limit check and send data to the DCUs</t>
  </si>
  <si>
    <t>Steering Word Source: 0=ATB, 1=Ksine register (from ARM)</t>
  </si>
  <si>
    <t>When configured in test mode from the ATB this bit is used in place of /WSLP</t>
  </si>
  <si>
    <t>31..5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</si>
</sst>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95250</xdr:rowOff>
    </xdr:from>
    <xdr:to>
      <xdr:col>1</xdr:col>
      <xdr:colOff>3971925</xdr:colOff>
      <xdr:row>7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5F197-5953-43A5-8A64-BFB8E3C9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66925"/>
          <a:ext cx="39528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38100</xdr:colOff>
      <xdr:row>9</xdr:row>
      <xdr:rowOff>66675</xdr:rowOff>
    </xdr:from>
    <xdr:to>
      <xdr:col>1</xdr:col>
      <xdr:colOff>1847850</xdr:colOff>
      <xdr:row>9</xdr:row>
      <xdr:rowOff>428625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A6D46-7D9E-42D9-9E0F-09C2509F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2733675"/>
          <a:ext cx="18097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7</xdr:row>
      <xdr:rowOff>66675</xdr:rowOff>
    </xdr:from>
    <xdr:to>
      <xdr:col>1</xdr:col>
      <xdr:colOff>1800225</xdr:colOff>
      <xdr:row>7</xdr:row>
      <xdr:rowOff>400050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76E9F6-34DA-80FC-642D-3563C341A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2038350"/>
          <a:ext cx="16383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257175</xdr:colOff>
      <xdr:row>9</xdr:row>
      <xdr:rowOff>57150</xdr:rowOff>
    </xdr:from>
    <xdr:to>
      <xdr:col>1</xdr:col>
      <xdr:colOff>2276475</xdr:colOff>
      <xdr:row>9</xdr:row>
      <xdr:rowOff>390525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B215D2-2C5D-3396-F7A7-F0B5B35D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2724150"/>
          <a:ext cx="20193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4"/>
  <sheetViews>
    <sheetView workbookViewId="0">
      <selection activeCell="D10" sqref="D10"/>
    </sheetView>
  </sheetViews>
  <sheetFormatPr defaultRowHeight="15" x14ac:dyDescent="0.25"/>
  <cols>
    <col min="1" max="1" width="5.28515625" customWidth="1"/>
    <col min="2" max="2" width="11.42578125" customWidth="1"/>
    <col min="3" max="3" width="16" customWidth="1"/>
    <col min="4" max="4" width="71.28515625" customWidth="1"/>
    <col min="5" max="5" width="12.85546875" customWidth="1"/>
  </cols>
  <sheetData>
    <row r="2" spans="2:5" x14ac:dyDescent="0.25">
      <c r="B2" s="12" t="s">
        <v>10</v>
      </c>
      <c r="C2" s="12" t="s">
        <v>11</v>
      </c>
      <c r="D2" s="12" t="s">
        <v>3</v>
      </c>
      <c r="E2" s="13" t="s">
        <v>12</v>
      </c>
    </row>
    <row r="3" spans="2:5" x14ac:dyDescent="0.25">
      <c r="B3" s="10">
        <v>0</v>
      </c>
      <c r="C3" s="3" t="str">
        <f>"0x"&amp;DEC2HEX((B3)*4,4)</f>
        <v>0x0000</v>
      </c>
      <c r="D3" s="3" t="s">
        <v>13</v>
      </c>
      <c r="E3" s="3" t="s">
        <v>14</v>
      </c>
    </row>
    <row r="4" spans="2:5" x14ac:dyDescent="0.25">
      <c r="B4" s="10">
        <f>B3+1</f>
        <v>1</v>
      </c>
      <c r="C4" s="3" t="str">
        <f t="shared" ref="C4:C34" si="0">"0x"&amp;DEC2HEX((B4)*4,4)</f>
        <v>0x0004</v>
      </c>
      <c r="D4" s="3" t="s">
        <v>30</v>
      </c>
      <c r="E4" s="3" t="s">
        <v>14</v>
      </c>
    </row>
    <row r="5" spans="2:5" x14ac:dyDescent="0.25">
      <c r="B5" s="10">
        <f t="shared" ref="B5:B34" si="1">B4+1</f>
        <v>2</v>
      </c>
      <c r="C5" s="3" t="str">
        <f t="shared" si="0"/>
        <v>0x0008</v>
      </c>
      <c r="D5" s="3" t="s">
        <v>35</v>
      </c>
      <c r="E5" s="3" t="s">
        <v>15</v>
      </c>
    </row>
    <row r="6" spans="2:5" x14ac:dyDescent="0.25">
      <c r="B6" s="10">
        <f t="shared" si="1"/>
        <v>3</v>
      </c>
      <c r="C6" s="3" t="str">
        <f t="shared" si="0"/>
        <v>0x000C</v>
      </c>
      <c r="D6" s="3" t="s">
        <v>36</v>
      </c>
      <c r="E6" s="3" t="s">
        <v>15</v>
      </c>
    </row>
    <row r="7" spans="2:5" x14ac:dyDescent="0.25">
      <c r="B7" s="10">
        <f t="shared" si="1"/>
        <v>4</v>
      </c>
      <c r="C7" s="3" t="str">
        <f t="shared" si="0"/>
        <v>0x0010</v>
      </c>
      <c r="D7" s="3" t="s">
        <v>37</v>
      </c>
      <c r="E7" s="3" t="s">
        <v>15</v>
      </c>
    </row>
    <row r="8" spans="2:5" x14ac:dyDescent="0.25">
      <c r="B8" s="10">
        <f t="shared" si="1"/>
        <v>5</v>
      </c>
      <c r="C8" s="3" t="str">
        <f t="shared" si="0"/>
        <v>0x0014</v>
      </c>
      <c r="D8" s="3" t="s">
        <v>38</v>
      </c>
      <c r="E8" s="3" t="s">
        <v>14</v>
      </c>
    </row>
    <row r="9" spans="2:5" x14ac:dyDescent="0.25">
      <c r="B9" s="10">
        <f t="shared" si="1"/>
        <v>6</v>
      </c>
      <c r="C9" s="3" t="str">
        <f t="shared" si="0"/>
        <v>0x0018</v>
      </c>
      <c r="D9" s="3" t="s">
        <v>39</v>
      </c>
      <c r="E9" s="3" t="s">
        <v>14</v>
      </c>
    </row>
    <row r="10" spans="2:5" x14ac:dyDescent="0.25">
      <c r="B10" s="10">
        <f t="shared" si="1"/>
        <v>7</v>
      </c>
      <c r="C10" s="3" t="str">
        <f t="shared" si="0"/>
        <v>0x001C</v>
      </c>
      <c r="D10" s="3" t="s">
        <v>54</v>
      </c>
      <c r="E10" s="3" t="s">
        <v>15</v>
      </c>
    </row>
    <row r="11" spans="2:5" x14ac:dyDescent="0.25">
      <c r="B11" s="10">
        <f t="shared" si="1"/>
        <v>8</v>
      </c>
      <c r="C11" s="3" t="str">
        <f t="shared" si="0"/>
        <v>0x0020</v>
      </c>
      <c r="D11" s="3" t="s">
        <v>16</v>
      </c>
      <c r="E11" s="3" t="s">
        <v>15</v>
      </c>
    </row>
    <row r="12" spans="2:5" x14ac:dyDescent="0.25">
      <c r="B12" s="10">
        <f t="shared" si="1"/>
        <v>9</v>
      </c>
      <c r="C12" s="3" t="str">
        <f t="shared" si="0"/>
        <v>0x0024</v>
      </c>
      <c r="D12" s="3" t="s">
        <v>16</v>
      </c>
      <c r="E12" s="3" t="s">
        <v>15</v>
      </c>
    </row>
    <row r="13" spans="2:5" x14ac:dyDescent="0.25">
      <c r="B13" s="10">
        <f t="shared" si="1"/>
        <v>10</v>
      </c>
      <c r="C13" s="3" t="str">
        <f t="shared" si="0"/>
        <v>0x0028</v>
      </c>
      <c r="D13" s="3" t="s">
        <v>16</v>
      </c>
      <c r="E13" s="3" t="s">
        <v>15</v>
      </c>
    </row>
    <row r="14" spans="2:5" x14ac:dyDescent="0.25">
      <c r="B14" s="10">
        <f t="shared" si="1"/>
        <v>11</v>
      </c>
      <c r="C14" s="3" t="str">
        <f t="shared" si="0"/>
        <v>0x002C</v>
      </c>
      <c r="D14" s="3" t="s">
        <v>16</v>
      </c>
      <c r="E14" s="3" t="s">
        <v>15</v>
      </c>
    </row>
    <row r="15" spans="2:5" x14ac:dyDescent="0.25">
      <c r="B15" s="10">
        <f t="shared" si="1"/>
        <v>12</v>
      </c>
      <c r="C15" s="3" t="str">
        <f t="shared" si="0"/>
        <v>0x0030</v>
      </c>
      <c r="D15" s="3" t="s">
        <v>16</v>
      </c>
      <c r="E15" s="3" t="s">
        <v>15</v>
      </c>
    </row>
    <row r="16" spans="2:5" x14ac:dyDescent="0.25">
      <c r="B16" s="10">
        <f t="shared" si="1"/>
        <v>13</v>
      </c>
      <c r="C16" s="3" t="str">
        <f t="shared" si="0"/>
        <v>0x0034</v>
      </c>
      <c r="D16" s="3" t="s">
        <v>16</v>
      </c>
      <c r="E16" s="3" t="s">
        <v>15</v>
      </c>
    </row>
    <row r="17" spans="2:5" x14ac:dyDescent="0.25">
      <c r="B17" s="10">
        <f t="shared" si="1"/>
        <v>14</v>
      </c>
      <c r="C17" s="3" t="str">
        <f t="shared" si="0"/>
        <v>0x0038</v>
      </c>
      <c r="D17" s="3" t="s">
        <v>16</v>
      </c>
      <c r="E17" s="3" t="s">
        <v>15</v>
      </c>
    </row>
    <row r="18" spans="2:5" x14ac:dyDescent="0.25">
      <c r="B18" s="10">
        <f t="shared" si="1"/>
        <v>15</v>
      </c>
      <c r="C18" s="3" t="str">
        <f t="shared" si="0"/>
        <v>0x003C</v>
      </c>
      <c r="D18" s="3" t="s">
        <v>16</v>
      </c>
      <c r="E18" s="3" t="s">
        <v>15</v>
      </c>
    </row>
    <row r="19" spans="2:5" x14ac:dyDescent="0.25">
      <c r="B19" s="10">
        <f t="shared" si="1"/>
        <v>16</v>
      </c>
      <c r="C19" s="3" t="str">
        <f t="shared" si="0"/>
        <v>0x0040</v>
      </c>
      <c r="D19" s="3" t="s">
        <v>16</v>
      </c>
      <c r="E19" s="3" t="s">
        <v>14</v>
      </c>
    </row>
    <row r="20" spans="2:5" x14ac:dyDescent="0.25">
      <c r="B20" s="10">
        <f t="shared" si="1"/>
        <v>17</v>
      </c>
      <c r="C20" s="3" t="str">
        <f t="shared" si="0"/>
        <v>0x0044</v>
      </c>
      <c r="D20" s="3" t="s">
        <v>16</v>
      </c>
      <c r="E20" s="3" t="s">
        <v>14</v>
      </c>
    </row>
    <row r="21" spans="2:5" x14ac:dyDescent="0.25">
      <c r="B21" s="10">
        <f t="shared" si="1"/>
        <v>18</v>
      </c>
      <c r="C21" s="3" t="str">
        <f t="shared" si="0"/>
        <v>0x0048</v>
      </c>
      <c r="D21" s="3" t="s">
        <v>16</v>
      </c>
      <c r="E21" s="3" t="s">
        <v>14</v>
      </c>
    </row>
    <row r="22" spans="2:5" x14ac:dyDescent="0.25">
      <c r="B22" s="10">
        <f t="shared" si="1"/>
        <v>19</v>
      </c>
      <c r="C22" s="3" t="str">
        <f t="shared" si="0"/>
        <v>0x004C</v>
      </c>
      <c r="D22" s="3" t="s">
        <v>16</v>
      </c>
      <c r="E22" s="3" t="s">
        <v>14</v>
      </c>
    </row>
    <row r="23" spans="2:5" x14ac:dyDescent="0.25">
      <c r="B23" s="10">
        <f t="shared" si="1"/>
        <v>20</v>
      </c>
      <c r="C23" s="3" t="str">
        <f t="shared" si="0"/>
        <v>0x0050</v>
      </c>
      <c r="D23" s="3" t="s">
        <v>16</v>
      </c>
      <c r="E23" s="3" t="s">
        <v>14</v>
      </c>
    </row>
    <row r="24" spans="2:5" x14ac:dyDescent="0.25">
      <c r="B24" s="10">
        <f t="shared" si="1"/>
        <v>21</v>
      </c>
      <c r="C24" s="3" t="str">
        <f t="shared" si="0"/>
        <v>0x0054</v>
      </c>
      <c r="D24" s="3" t="s">
        <v>16</v>
      </c>
      <c r="E24" s="3" t="s">
        <v>14</v>
      </c>
    </row>
    <row r="25" spans="2:5" x14ac:dyDescent="0.25">
      <c r="B25" s="10">
        <f t="shared" si="1"/>
        <v>22</v>
      </c>
      <c r="C25" s="3" t="str">
        <f t="shared" si="0"/>
        <v>0x0058</v>
      </c>
      <c r="D25" s="3" t="s">
        <v>16</v>
      </c>
      <c r="E25" s="3" t="s">
        <v>15</v>
      </c>
    </row>
    <row r="26" spans="2:5" x14ac:dyDescent="0.25">
      <c r="B26" s="10">
        <f t="shared" si="1"/>
        <v>23</v>
      </c>
      <c r="C26" s="3" t="str">
        <f t="shared" si="0"/>
        <v>0x005C</v>
      </c>
      <c r="D26" s="3" t="s">
        <v>16</v>
      </c>
      <c r="E26" s="3" t="s">
        <v>14</v>
      </c>
    </row>
    <row r="27" spans="2:5" x14ac:dyDescent="0.25">
      <c r="B27" s="10">
        <f t="shared" si="1"/>
        <v>24</v>
      </c>
      <c r="C27" s="3" t="str">
        <f t="shared" si="0"/>
        <v>0x0060</v>
      </c>
      <c r="D27" s="3" t="s">
        <v>16</v>
      </c>
      <c r="E27" s="3" t="s">
        <v>14</v>
      </c>
    </row>
    <row r="28" spans="2:5" x14ac:dyDescent="0.25">
      <c r="B28" s="10">
        <f t="shared" si="1"/>
        <v>25</v>
      </c>
      <c r="C28" s="3" t="str">
        <f t="shared" si="0"/>
        <v>0x0064</v>
      </c>
      <c r="D28" s="3" t="s">
        <v>16</v>
      </c>
      <c r="E28" s="3" t="s">
        <v>14</v>
      </c>
    </row>
    <row r="29" spans="2:5" x14ac:dyDescent="0.25">
      <c r="B29" s="10">
        <f t="shared" si="1"/>
        <v>26</v>
      </c>
      <c r="C29" s="3" t="str">
        <f t="shared" si="0"/>
        <v>0x0068</v>
      </c>
      <c r="D29" s="3" t="s">
        <v>16</v>
      </c>
      <c r="E29" s="3" t="s">
        <v>14</v>
      </c>
    </row>
    <row r="30" spans="2:5" x14ac:dyDescent="0.25">
      <c r="B30" s="10">
        <f t="shared" si="1"/>
        <v>27</v>
      </c>
      <c r="C30" s="3" t="str">
        <f t="shared" si="0"/>
        <v>0x006C</v>
      </c>
      <c r="D30" s="3" t="s">
        <v>31</v>
      </c>
      <c r="E30" s="3" t="s">
        <v>14</v>
      </c>
    </row>
    <row r="31" spans="2:5" x14ac:dyDescent="0.25">
      <c r="B31" s="10">
        <f t="shared" si="1"/>
        <v>28</v>
      </c>
      <c r="C31" s="3" t="str">
        <f t="shared" si="0"/>
        <v>0x0070</v>
      </c>
      <c r="D31" s="3" t="s">
        <v>40</v>
      </c>
      <c r="E31" s="3" t="s">
        <v>14</v>
      </c>
    </row>
    <row r="32" spans="2:5" x14ac:dyDescent="0.25">
      <c r="B32" s="10">
        <f t="shared" si="1"/>
        <v>29</v>
      </c>
      <c r="C32" s="3" t="str">
        <f t="shared" si="0"/>
        <v>0x0074</v>
      </c>
      <c r="D32" s="3" t="s">
        <v>41</v>
      </c>
      <c r="E32" s="3" t="s">
        <v>15</v>
      </c>
    </row>
    <row r="33" spans="2:5" x14ac:dyDescent="0.25">
      <c r="B33" s="10">
        <f t="shared" si="1"/>
        <v>30</v>
      </c>
      <c r="C33" s="3" t="str">
        <f t="shared" si="0"/>
        <v>0x0078</v>
      </c>
      <c r="D33" s="3" t="s">
        <v>51</v>
      </c>
      <c r="E33" s="3" t="s">
        <v>15</v>
      </c>
    </row>
    <row r="34" spans="2:5" x14ac:dyDescent="0.25">
      <c r="B34" s="10">
        <f t="shared" si="1"/>
        <v>31</v>
      </c>
      <c r="C34" s="3" t="str">
        <f t="shared" si="0"/>
        <v>0x007C</v>
      </c>
      <c r="D34" s="3" t="s">
        <v>9</v>
      </c>
      <c r="E34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8"/>
  <sheetViews>
    <sheetView workbookViewId="0">
      <selection activeCell="A5" sqref="A5"/>
    </sheetView>
  </sheetViews>
  <sheetFormatPr defaultRowHeight="15" x14ac:dyDescent="0.25"/>
  <cols>
    <col min="1" max="1" width="11.140625" style="1" customWidth="1"/>
    <col min="2" max="2" width="76.42578125" customWidth="1"/>
    <col min="3" max="3" width="12.5703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6</v>
      </c>
      <c r="B3" s="16" t="s">
        <v>2</v>
      </c>
      <c r="C3" s="17"/>
      <c r="D3" s="17"/>
      <c r="E3" s="17"/>
    </row>
    <row r="4" spans="1:5" x14ac:dyDescent="0.25">
      <c r="A4" s="10" t="s">
        <v>5</v>
      </c>
      <c r="B4" s="3" t="s">
        <v>17</v>
      </c>
      <c r="C4" s="3" t="s">
        <v>18</v>
      </c>
      <c r="D4" s="10" t="s">
        <v>19</v>
      </c>
      <c r="E4" s="10"/>
    </row>
    <row r="6" spans="1:5" x14ac:dyDescent="0.25">
      <c r="B6" s="5" t="s">
        <v>7</v>
      </c>
    </row>
    <row r="7" spans="1:5" ht="15" customHeight="1" x14ac:dyDescent="0.25">
      <c r="B7" s="9"/>
    </row>
    <row r="8" spans="1:5" ht="1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20"/>
  <sheetViews>
    <sheetView workbookViewId="0">
      <selection activeCell="B20" sqref="B20"/>
    </sheetView>
  </sheetViews>
  <sheetFormatPr defaultRowHeight="15" x14ac:dyDescent="0.25"/>
  <cols>
    <col min="1" max="1" width="11.140625" style="1" customWidth="1"/>
    <col min="2" max="2" width="89.85546875" customWidth="1"/>
    <col min="3" max="3" width="10.7109375" customWidth="1"/>
    <col min="4" max="4" width="9.140625" customWidth="1"/>
    <col min="5" max="5" width="7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6</v>
      </c>
      <c r="B3" s="20"/>
      <c r="C3" s="17"/>
      <c r="D3" s="18"/>
      <c r="E3" s="23"/>
    </row>
    <row r="4" spans="1:5" x14ac:dyDescent="0.25">
      <c r="A4" s="10" t="s">
        <v>26</v>
      </c>
      <c r="B4" s="19"/>
      <c r="C4" s="3"/>
      <c r="D4" s="10"/>
      <c r="E4" s="10"/>
    </row>
    <row r="5" spans="1:5" x14ac:dyDescent="0.25">
      <c r="A5" s="18">
        <v>12</v>
      </c>
      <c r="B5" s="20"/>
      <c r="C5" s="17"/>
      <c r="D5" s="18"/>
      <c r="E5" s="18"/>
    </row>
    <row r="6" spans="1:5" x14ac:dyDescent="0.25">
      <c r="A6" s="10">
        <v>11</v>
      </c>
      <c r="B6" s="19"/>
      <c r="C6" s="3"/>
      <c r="D6" s="10"/>
      <c r="E6" s="10"/>
    </row>
    <row r="7" spans="1:5" x14ac:dyDescent="0.25">
      <c r="A7" s="18">
        <v>10</v>
      </c>
      <c r="B7" s="20"/>
      <c r="C7" s="17"/>
      <c r="D7" s="18"/>
      <c r="E7" s="18"/>
    </row>
    <row r="8" spans="1:5" x14ac:dyDescent="0.25">
      <c r="A8" s="10">
        <v>9</v>
      </c>
      <c r="B8" s="19"/>
      <c r="C8" s="3"/>
      <c r="D8" s="10"/>
      <c r="E8" s="10"/>
    </row>
    <row r="9" spans="1:5" x14ac:dyDescent="0.25">
      <c r="A9" s="18">
        <v>8</v>
      </c>
      <c r="B9" s="20"/>
      <c r="C9" s="17"/>
      <c r="D9" s="18"/>
      <c r="E9" s="18"/>
    </row>
    <row r="10" spans="1:5" x14ac:dyDescent="0.25">
      <c r="A10" s="10">
        <v>7</v>
      </c>
      <c r="B10" s="19"/>
      <c r="C10" s="3"/>
      <c r="D10" s="10"/>
      <c r="E10" s="10"/>
    </row>
    <row r="11" spans="1:5" x14ac:dyDescent="0.25">
      <c r="A11" s="18">
        <v>6</v>
      </c>
      <c r="B11" s="17"/>
      <c r="C11" s="17"/>
      <c r="D11" s="18"/>
      <c r="E11" s="18"/>
    </row>
    <row r="12" spans="1:5" x14ac:dyDescent="0.25">
      <c r="A12" s="10">
        <v>5</v>
      </c>
      <c r="B12" s="3"/>
      <c r="C12" s="3"/>
      <c r="D12" s="10"/>
      <c r="E12" s="10"/>
    </row>
    <row r="13" spans="1:5" x14ac:dyDescent="0.25">
      <c r="A13" s="18">
        <v>4</v>
      </c>
      <c r="B13" s="17" t="s">
        <v>46</v>
      </c>
      <c r="C13" s="17" t="s">
        <v>18</v>
      </c>
      <c r="D13" s="18">
        <v>0</v>
      </c>
      <c r="E13" s="18"/>
    </row>
    <row r="14" spans="1:5" x14ac:dyDescent="0.25">
      <c r="A14" s="10">
        <v>3</v>
      </c>
      <c r="B14" s="3" t="s">
        <v>45</v>
      </c>
      <c r="C14" s="3" t="s">
        <v>18</v>
      </c>
      <c r="D14" s="10">
        <v>0</v>
      </c>
      <c r="E14" s="10"/>
    </row>
    <row r="15" spans="1:5" x14ac:dyDescent="0.25">
      <c r="A15" s="18">
        <v>2</v>
      </c>
      <c r="B15" s="17" t="s">
        <v>44</v>
      </c>
      <c r="C15" s="17" t="s">
        <v>18</v>
      </c>
      <c r="D15" s="18">
        <v>0</v>
      </c>
      <c r="E15" s="18"/>
    </row>
    <row r="16" spans="1:5" x14ac:dyDescent="0.25">
      <c r="A16" s="10">
        <v>1</v>
      </c>
      <c r="B16" s="3" t="s">
        <v>43</v>
      </c>
      <c r="C16" s="3" t="s">
        <v>18</v>
      </c>
      <c r="D16" s="10">
        <v>0</v>
      </c>
      <c r="E16" s="10"/>
    </row>
    <row r="17" spans="1:5" x14ac:dyDescent="0.25">
      <c r="A17" s="18">
        <v>0</v>
      </c>
      <c r="B17" s="17" t="s">
        <v>42</v>
      </c>
      <c r="C17" s="17" t="s">
        <v>18</v>
      </c>
      <c r="D17" s="18">
        <v>0</v>
      </c>
      <c r="E17" s="18"/>
    </row>
    <row r="19" spans="1:5" x14ac:dyDescent="0.25">
      <c r="B19" s="5" t="s">
        <v>7</v>
      </c>
    </row>
    <row r="20" spans="1:5" x14ac:dyDescent="0.25">
      <c r="B20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7"/>
  <sheetViews>
    <sheetView workbookViewId="0">
      <selection activeCell="B16" sqref="B16"/>
    </sheetView>
  </sheetViews>
  <sheetFormatPr defaultRowHeight="15" x14ac:dyDescent="0.25"/>
  <cols>
    <col min="1" max="1" width="11.140625" style="1" customWidth="1"/>
    <col min="2" max="2" width="117.85546875" customWidth="1"/>
    <col min="3" max="3" width="12.5703125" customWidth="1"/>
    <col min="4" max="4" width="13.140625" customWidth="1"/>
    <col min="5" max="5" width="7.8554687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ht="15" customHeight="1" x14ac:dyDescent="0.25">
      <c r="A3" s="15">
        <v>31</v>
      </c>
      <c r="B3" s="16" t="s">
        <v>49</v>
      </c>
      <c r="C3" s="17" t="s">
        <v>23</v>
      </c>
      <c r="D3" s="18">
        <v>0</v>
      </c>
      <c r="E3" s="18"/>
    </row>
    <row r="4" spans="1:5" ht="15" customHeight="1" x14ac:dyDescent="0.25">
      <c r="A4" s="24" t="s">
        <v>47</v>
      </c>
      <c r="B4" s="6" t="s">
        <v>32</v>
      </c>
      <c r="C4" s="3"/>
      <c r="D4" s="10"/>
      <c r="E4" s="10"/>
    </row>
    <row r="5" spans="1:5" ht="15" customHeight="1" x14ac:dyDescent="0.25">
      <c r="A5" s="15">
        <v>6</v>
      </c>
      <c r="B5" s="16" t="s">
        <v>48</v>
      </c>
      <c r="C5" s="17"/>
      <c r="D5" s="18"/>
      <c r="E5" s="18"/>
    </row>
    <row r="6" spans="1:5" ht="15" customHeight="1" x14ac:dyDescent="0.25">
      <c r="A6" s="24">
        <v>5</v>
      </c>
      <c r="B6" s="6" t="s">
        <v>48</v>
      </c>
      <c r="C6" s="3"/>
      <c r="D6" s="10"/>
      <c r="E6" s="10"/>
    </row>
    <row r="7" spans="1:5" ht="15" customHeight="1" x14ac:dyDescent="0.25">
      <c r="A7" s="15">
        <v>4</v>
      </c>
      <c r="B7" s="16" t="s">
        <v>48</v>
      </c>
      <c r="C7" s="17"/>
      <c r="D7" s="18"/>
      <c r="E7" s="18"/>
    </row>
    <row r="8" spans="1:5" ht="15" customHeight="1" x14ac:dyDescent="0.25">
      <c r="A8" s="24">
        <v>3</v>
      </c>
      <c r="B8" s="6" t="s">
        <v>48</v>
      </c>
      <c r="C8" s="3"/>
      <c r="D8" s="10"/>
      <c r="E8" s="10"/>
    </row>
    <row r="9" spans="1:5" ht="15" customHeight="1" x14ac:dyDescent="0.25">
      <c r="A9" s="15">
        <v>2</v>
      </c>
      <c r="B9" s="16" t="s">
        <v>48</v>
      </c>
      <c r="C9" s="17"/>
      <c r="D9" s="18"/>
      <c r="E9" s="18"/>
    </row>
    <row r="10" spans="1:5" ht="15" customHeight="1" x14ac:dyDescent="0.25">
      <c r="A10" s="24">
        <v>1</v>
      </c>
      <c r="B10" s="6" t="s">
        <v>63</v>
      </c>
      <c r="C10" s="3" t="s">
        <v>23</v>
      </c>
      <c r="D10" s="10">
        <v>0</v>
      </c>
      <c r="E10" s="10"/>
    </row>
    <row r="11" spans="1:5" ht="15" customHeight="1" x14ac:dyDescent="0.25">
      <c r="A11" s="15">
        <v>0</v>
      </c>
      <c r="B11" s="16" t="s">
        <v>62</v>
      </c>
      <c r="C11" s="17" t="s">
        <v>23</v>
      </c>
      <c r="D11" s="18">
        <v>0</v>
      </c>
      <c r="E11" s="18">
        <v>1</v>
      </c>
    </row>
    <row r="12" spans="1:5" ht="15" customHeight="1" x14ac:dyDescent="0.25">
      <c r="A12" s="25"/>
      <c r="B12" s="4"/>
      <c r="D12" s="22"/>
      <c r="E12" s="22"/>
    </row>
    <row r="14" spans="1:5" x14ac:dyDescent="0.25">
      <c r="B14" s="11" t="s">
        <v>7</v>
      </c>
    </row>
    <row r="15" spans="1:5" x14ac:dyDescent="0.25">
      <c r="B15" s="4" t="s">
        <v>64</v>
      </c>
    </row>
    <row r="16" spans="1:5" x14ac:dyDescent="0.25">
      <c r="B16" s="7"/>
    </row>
    <row r="17" spans="2:2" x14ac:dyDescent="0.25">
      <c r="B17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7E7B-A1B0-494F-9CB9-3EBE05669CEA}">
  <dimension ref="A2:E7"/>
  <sheetViews>
    <sheetView workbookViewId="0">
      <selection activeCell="A5" sqref="A5"/>
    </sheetView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34</v>
      </c>
      <c r="B3" s="20" t="s">
        <v>56</v>
      </c>
      <c r="C3" s="17" t="s">
        <v>23</v>
      </c>
      <c r="D3" s="18" t="s">
        <v>24</v>
      </c>
      <c r="E3" s="18">
        <v>1</v>
      </c>
    </row>
    <row r="4" spans="1:5" x14ac:dyDescent="0.25">
      <c r="A4" s="10" t="s">
        <v>33</v>
      </c>
      <c r="B4" s="3" t="s">
        <v>55</v>
      </c>
      <c r="C4" s="3"/>
      <c r="D4" s="3"/>
      <c r="E4" s="3"/>
    </row>
    <row r="6" spans="1:5" x14ac:dyDescent="0.25">
      <c r="B6" s="8" t="s">
        <v>7</v>
      </c>
    </row>
    <row r="7" spans="1:5" x14ac:dyDescent="0.25">
      <c r="B7" s="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87DC-9641-403D-9545-950D8377FEF9}">
  <dimension ref="A2:E7"/>
  <sheetViews>
    <sheetView workbookViewId="0">
      <selection activeCell="B30" sqref="B30"/>
    </sheetView>
  </sheetViews>
  <sheetFormatPr defaultRowHeight="15" x14ac:dyDescent="0.25"/>
  <cols>
    <col min="1" max="1" width="11.140625" style="1" customWidth="1"/>
    <col min="2" max="2" width="93.5703125" customWidth="1"/>
    <col min="3" max="3" width="13" customWidth="1"/>
    <col min="4" max="4" width="14.85546875" customWidth="1"/>
    <col min="5" max="5" width="11.4257812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8" t="s">
        <v>34</v>
      </c>
      <c r="B3" s="20" t="s">
        <v>2</v>
      </c>
      <c r="C3" s="17" t="s">
        <v>23</v>
      </c>
      <c r="D3" s="18" t="s">
        <v>24</v>
      </c>
      <c r="E3" s="18"/>
    </row>
    <row r="4" spans="1:5" x14ac:dyDescent="0.25">
      <c r="A4" s="10" t="s">
        <v>33</v>
      </c>
      <c r="B4" s="3" t="s">
        <v>50</v>
      </c>
      <c r="C4" s="3"/>
      <c r="D4" s="3"/>
      <c r="E4" s="3"/>
    </row>
    <row r="6" spans="1:5" x14ac:dyDescent="0.25">
      <c r="B6" s="8" t="s">
        <v>7</v>
      </c>
    </row>
    <row r="7" spans="1:5" x14ac:dyDescent="0.25">
      <c r="B7" s="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2AED-DC43-4D41-BEE1-9E9DD8562609}">
  <dimension ref="A2:E14"/>
  <sheetViews>
    <sheetView tabSelected="1" workbookViewId="0">
      <selection activeCell="A9" sqref="A9"/>
    </sheetView>
  </sheetViews>
  <sheetFormatPr defaultRowHeight="15" x14ac:dyDescent="0.25"/>
  <cols>
    <col min="1" max="1" width="11.140625" style="1" customWidth="1"/>
    <col min="2" max="2" width="117.85546875" customWidth="1"/>
    <col min="3" max="3" width="12.5703125" customWidth="1"/>
    <col min="4" max="4" width="13.140625" customWidth="1"/>
    <col min="5" max="5" width="7.8554687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ht="15" customHeight="1" x14ac:dyDescent="0.25">
      <c r="A3" s="15" t="s">
        <v>65</v>
      </c>
      <c r="B3" s="16" t="s">
        <v>2</v>
      </c>
      <c r="C3" s="17" t="s">
        <v>19</v>
      </c>
      <c r="D3" s="18">
        <v>0</v>
      </c>
      <c r="E3" s="18"/>
    </row>
    <row r="4" spans="1:5" ht="15" customHeight="1" x14ac:dyDescent="0.25">
      <c r="A4" s="28">
        <v>4</v>
      </c>
      <c r="B4" s="29" t="s">
        <v>61</v>
      </c>
      <c r="C4" s="27" t="s">
        <v>14</v>
      </c>
      <c r="D4" s="26"/>
      <c r="E4" s="26"/>
    </row>
    <row r="5" spans="1:5" ht="15" customHeight="1" x14ac:dyDescent="0.25">
      <c r="A5" s="15">
        <v>3</v>
      </c>
      <c r="B5" s="16" t="s">
        <v>60</v>
      </c>
      <c r="C5" s="17" t="s">
        <v>14</v>
      </c>
      <c r="D5" s="18"/>
      <c r="E5" s="18"/>
    </row>
    <row r="6" spans="1:5" ht="15" customHeight="1" x14ac:dyDescent="0.25">
      <c r="A6" s="28">
        <v>2</v>
      </c>
      <c r="B6" s="29" t="s">
        <v>59</v>
      </c>
      <c r="C6" s="27" t="s">
        <v>14</v>
      </c>
      <c r="D6" s="26"/>
      <c r="E6" s="26"/>
    </row>
    <row r="7" spans="1:5" ht="15" customHeight="1" x14ac:dyDescent="0.25">
      <c r="A7" s="15">
        <v>1</v>
      </c>
      <c r="B7" s="16" t="s">
        <v>57</v>
      </c>
      <c r="C7" s="17" t="s">
        <v>14</v>
      </c>
      <c r="D7" s="18">
        <v>0</v>
      </c>
      <c r="E7" s="18"/>
    </row>
    <row r="8" spans="1:5" ht="15" customHeight="1" x14ac:dyDescent="0.25">
      <c r="A8" s="28">
        <v>0</v>
      </c>
      <c r="B8" s="29" t="s">
        <v>58</v>
      </c>
      <c r="C8" s="27" t="s">
        <v>14</v>
      </c>
      <c r="D8" s="26">
        <v>0</v>
      </c>
      <c r="E8" s="26"/>
    </row>
    <row r="9" spans="1:5" ht="15" customHeight="1" x14ac:dyDescent="0.25">
      <c r="A9" s="25"/>
      <c r="B9" s="4"/>
      <c r="D9" s="22"/>
      <c r="E9" s="22"/>
    </row>
    <row r="11" spans="1:5" x14ac:dyDescent="0.25">
      <c r="B11" s="11" t="s">
        <v>7</v>
      </c>
    </row>
    <row r="12" spans="1:5" x14ac:dyDescent="0.25">
      <c r="B12" s="4"/>
    </row>
    <row r="13" spans="1:5" x14ac:dyDescent="0.25">
      <c r="B13" s="7"/>
    </row>
    <row r="14" spans="1:5" x14ac:dyDescent="0.25">
      <c r="B14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3A69-83AB-4E5A-A62A-C8C4223B902A}">
  <dimension ref="A2:E11"/>
  <sheetViews>
    <sheetView workbookViewId="0">
      <selection activeCell="B11" sqref="B11"/>
    </sheetView>
  </sheetViews>
  <sheetFormatPr defaultRowHeight="15" x14ac:dyDescent="0.25"/>
  <cols>
    <col min="1" max="1" width="11.140625" style="1" customWidth="1"/>
    <col min="2" max="2" width="92.5703125" customWidth="1"/>
    <col min="3" max="3" width="13.140625" customWidth="1"/>
    <col min="4" max="4" width="15.8554687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21" t="s">
        <v>6</v>
      </c>
      <c r="B3" s="17" t="s">
        <v>2</v>
      </c>
      <c r="C3" s="17"/>
      <c r="D3" s="18" t="s">
        <v>19</v>
      </c>
      <c r="E3" s="17"/>
    </row>
    <row r="4" spans="1:5" x14ac:dyDescent="0.25">
      <c r="A4" s="2" t="s">
        <v>5</v>
      </c>
      <c r="B4" s="3" t="s">
        <v>27</v>
      </c>
      <c r="C4" s="3" t="s">
        <v>14</v>
      </c>
      <c r="D4" s="10" t="s">
        <v>19</v>
      </c>
      <c r="E4" s="10">
        <v>1</v>
      </c>
    </row>
    <row r="6" spans="1:5" x14ac:dyDescent="0.25">
      <c r="B6" s="8" t="s">
        <v>7</v>
      </c>
    </row>
    <row r="7" spans="1:5" ht="65.25" customHeight="1" x14ac:dyDescent="0.25">
      <c r="B7" s="7" t="s">
        <v>29</v>
      </c>
    </row>
    <row r="8" spans="1:5" ht="39.75" customHeight="1" x14ac:dyDescent="0.25"/>
    <row r="9" spans="1:5" x14ac:dyDescent="0.25">
      <c r="B9" s="7" t="s">
        <v>28</v>
      </c>
    </row>
    <row r="10" spans="1:5" ht="36" customHeight="1" x14ac:dyDescent="0.25"/>
    <row r="11" spans="1:5" ht="16.5" customHeight="1" x14ac:dyDescent="0.25"/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319B-2B9D-4D5E-8D62-E4C237FCBE25}">
  <dimension ref="A2:E11"/>
  <sheetViews>
    <sheetView workbookViewId="0"/>
  </sheetViews>
  <sheetFormatPr defaultRowHeight="15" x14ac:dyDescent="0.25"/>
  <cols>
    <col min="1" max="1" width="11.140625" style="1" customWidth="1"/>
    <col min="2" max="2" width="92.5703125" customWidth="1"/>
    <col min="3" max="3" width="13.140625" customWidth="1"/>
    <col min="4" max="4" width="15.85546875" customWidth="1"/>
  </cols>
  <sheetData>
    <row r="2" spans="1:5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21" t="s">
        <v>6</v>
      </c>
      <c r="B3" s="17" t="s">
        <v>2</v>
      </c>
      <c r="C3" s="17"/>
      <c r="D3" s="18" t="s">
        <v>19</v>
      </c>
      <c r="E3" s="17"/>
    </row>
    <row r="4" spans="1:5" x14ac:dyDescent="0.25">
      <c r="A4" s="2" t="s">
        <v>5</v>
      </c>
      <c r="B4" s="3" t="s">
        <v>27</v>
      </c>
      <c r="C4" s="3" t="s">
        <v>14</v>
      </c>
      <c r="D4" s="10" t="s">
        <v>19</v>
      </c>
      <c r="E4" s="10">
        <v>1</v>
      </c>
    </row>
    <row r="6" spans="1:5" x14ac:dyDescent="0.25">
      <c r="B6" s="8" t="s">
        <v>7</v>
      </c>
    </row>
    <row r="7" spans="1:5" ht="65.25" customHeight="1" x14ac:dyDescent="0.25">
      <c r="B7" s="7" t="s">
        <v>52</v>
      </c>
    </row>
    <row r="8" spans="1:5" ht="39.75" customHeight="1" x14ac:dyDescent="0.25"/>
    <row r="9" spans="1:5" x14ac:dyDescent="0.25">
      <c r="B9" s="7" t="s">
        <v>53</v>
      </c>
    </row>
    <row r="10" spans="1:5" ht="36" customHeight="1" x14ac:dyDescent="0.25"/>
    <row r="11" spans="1:5" ht="16.5" customHeight="1" x14ac:dyDescent="0.25"/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6"/>
  <sheetViews>
    <sheetView workbookViewId="0">
      <selection activeCell="C2" sqref="C2:E2"/>
    </sheetView>
  </sheetViews>
  <sheetFormatPr defaultRowHeight="15" x14ac:dyDescent="0.25"/>
  <cols>
    <col min="2" max="2" width="100" customWidth="1"/>
    <col min="3" max="3" width="13.7109375" customWidth="1"/>
    <col min="4" max="4" width="14.5703125" customWidth="1"/>
    <col min="5" max="5" width="12.5703125" customWidth="1"/>
  </cols>
  <sheetData>
    <row r="2" spans="1:5" ht="15" customHeight="1" x14ac:dyDescent="0.25">
      <c r="A2" s="14" t="s">
        <v>0</v>
      </c>
      <c r="B2" s="14" t="s">
        <v>1</v>
      </c>
      <c r="C2" s="14" t="s">
        <v>20</v>
      </c>
      <c r="D2" s="12" t="s">
        <v>21</v>
      </c>
      <c r="E2" s="12" t="s">
        <v>22</v>
      </c>
    </row>
    <row r="3" spans="1:5" x14ac:dyDescent="0.25">
      <c r="A3" s="15" t="s">
        <v>4</v>
      </c>
      <c r="B3" s="16" t="s">
        <v>8</v>
      </c>
      <c r="C3" s="17" t="s">
        <v>15</v>
      </c>
      <c r="D3" s="17"/>
      <c r="E3" s="17"/>
    </row>
    <row r="6" spans="1:5" x14ac:dyDescent="0.25">
      <c r="B6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Memory Map</vt:lpstr>
      <vt:lpstr>FW Revision</vt:lpstr>
      <vt:lpstr>Overall Status</vt:lpstr>
      <vt:lpstr>Main Control</vt:lpstr>
      <vt:lpstr>Ksine</vt:lpstr>
      <vt:lpstr>SW</vt:lpstr>
      <vt:lpstr>Scan_lim_Result</vt:lpstr>
      <vt:lpstr>Die Temperature</vt:lpstr>
      <vt:lpstr>Voltage</vt:lpstr>
      <vt:lpstr>Diagnostic R-W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Hai Tuyen (U.S. Person)</dc:creator>
  <cp:lastModifiedBy>Shawn McMullen</cp:lastModifiedBy>
  <dcterms:created xsi:type="dcterms:W3CDTF">2017-11-16T22:09:34Z</dcterms:created>
  <dcterms:modified xsi:type="dcterms:W3CDTF">2025-03-31T17:56:46Z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a132d8ab-2485-4715-802d-31da94d84165</vt:lpwstr>
  </property>
  <property fmtid="{D5CDD505-2E9C-101B-9397-08002B2CF9AE}" pid="3" name="CLASSIFICATION">
    <vt:lpwstr>General</vt:lpwstr>
  </property>
</Properties>
</file>