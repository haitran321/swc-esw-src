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C:\Docs\Job_Files\IRT\TR_CS_Module\General_Tech_Info\Register_Map\"/>
    </mc:Choice>
  </mc:AlternateContent>
  <xr:revisionPtr revIDLastSave="0" documentId="13_ncr:1_{DA10A751-2116-467D-BC04-99E0B70E3340}" xr6:coauthVersionLast="47" xr6:coauthVersionMax="47" xr10:uidLastSave="{00000000-0000-0000-0000-000000000000}"/>
  <bookViews>
    <workbookView xWindow="-120" yWindow="-120" windowWidth="25440" windowHeight="15270" xr2:uid="{00000000-000D-0000-FFFF-FFFF00000000}"/>
  </bookViews>
  <sheets>
    <sheet name="Memory Map" sheetId="2" r:id="rId1"/>
    <sheet name="Action Cmd struct" sheetId="21" r:id="rId2"/>
    <sheet name="FW Revision" sheetId="4" r:id="rId3"/>
    <sheet name="Overall Status" sheetId="5" r:id="rId4"/>
    <sheet name="Board Control" sheetId="1" r:id="rId5"/>
    <sheet name="Start Time" sheetId="24" r:id="rId6"/>
    <sheet name="Stop Time" sheetId="25" r:id="rId7"/>
    <sheet name="Channel Amplitude" sheetId="7" r:id="rId8"/>
    <sheet name="Channel Phase" sheetId="9" r:id="rId9"/>
    <sheet name="Channel Freq" sheetId="8" r:id="rId10"/>
    <sheet name="LFM" sheetId="23" r:id="rId11"/>
    <sheet name="Phase Code" sheetId="22" r:id="rId12"/>
    <sheet name="BPSK Reg1" sheetId="29" r:id="rId13"/>
    <sheet name="BPSK Reg2" sheetId="30" r:id="rId14"/>
    <sheet name="Die Temperature" sheetId="27" r:id="rId15"/>
    <sheet name="DDS Status" sheetId="28" r:id="rId16"/>
    <sheet name="LMK ReadWrite" sheetId="26" r:id="rId17"/>
    <sheet name="GCW Emulator Duration" sheetId="16" r:id="rId18"/>
    <sheet name="GCW Emulator Period" sheetId="17" r:id="rId19"/>
    <sheet name="Diagnostic R-W" sheetId="14" r:id="rId20"/>
    <sheet name="Trigger Timeout" sheetId="19" r:id="rId2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67" i="2" l="1"/>
  <c r="C166" i="2"/>
  <c r="C165" i="2"/>
  <c r="C164" i="2"/>
  <c r="C163" i="2"/>
  <c r="C162" i="2"/>
  <c r="C161" i="2"/>
  <c r="C160" i="2"/>
  <c r="B161" i="2"/>
  <c r="B162" i="2" s="1"/>
  <c r="B163" i="2" s="1"/>
  <c r="B164" i="2" s="1"/>
  <c r="B165" i="2" s="1"/>
  <c r="B166" i="2" s="1"/>
  <c r="B167" i="2" s="1"/>
  <c r="C158" i="2"/>
  <c r="C157" i="2"/>
  <c r="C156" i="2"/>
  <c r="C155" i="2"/>
  <c r="C154" i="2"/>
  <c r="C153" i="2"/>
  <c r="C152" i="2"/>
  <c r="C151" i="2"/>
  <c r="C150" i="2"/>
  <c r="C149" i="2"/>
  <c r="C148" i="2"/>
  <c r="C147" i="2"/>
  <c r="C146" i="2"/>
  <c r="C145" i="2"/>
  <c r="C144" i="2"/>
  <c r="C143" i="2"/>
  <c r="C142" i="2"/>
  <c r="C141" i="2"/>
  <c r="C140" i="2"/>
  <c r="C139" i="2"/>
  <c r="C138" i="2"/>
  <c r="C137" i="2"/>
  <c r="C136" i="2"/>
  <c r="C135" i="2"/>
  <c r="B136" i="2"/>
  <c r="B137" i="2" s="1"/>
  <c r="B138" i="2" s="1"/>
  <c r="B139" i="2" s="1"/>
  <c r="B140" i="2" s="1"/>
  <c r="B141" i="2" s="1"/>
  <c r="B142" i="2" s="1"/>
  <c r="B143" i="2" s="1"/>
  <c r="B144" i="2" s="1"/>
  <c r="B145" i="2" s="1"/>
  <c r="B146" i="2" s="1"/>
  <c r="B147" i="2" s="1"/>
  <c r="B148" i="2" s="1"/>
  <c r="B149" i="2" s="1"/>
  <c r="B150" i="2" s="1"/>
  <c r="B151" i="2" s="1"/>
  <c r="B152" i="2" s="1"/>
  <c r="B153" i="2" s="1"/>
  <c r="B154" i="2" s="1"/>
  <c r="B155" i="2" s="1"/>
  <c r="B156" i="2" s="1"/>
  <c r="B157" i="2" s="1"/>
  <c r="B158" i="2" s="1"/>
  <c r="C133" i="2"/>
  <c r="C132" i="2"/>
  <c r="C131" i="2"/>
  <c r="C130" i="2"/>
  <c r="C129" i="2"/>
  <c r="C128" i="2"/>
  <c r="C127" i="2"/>
  <c r="C126" i="2"/>
  <c r="C125" i="2"/>
  <c r="C124" i="2"/>
  <c r="C123" i="2"/>
  <c r="C122" i="2"/>
  <c r="C121" i="2"/>
  <c r="C120" i="2"/>
  <c r="C119" i="2"/>
  <c r="C118" i="2"/>
  <c r="C117" i="2"/>
  <c r="C116" i="2"/>
  <c r="C115" i="2"/>
  <c r="C114" i="2"/>
  <c r="C113" i="2"/>
  <c r="C112" i="2"/>
  <c r="C111" i="2"/>
  <c r="C110" i="2"/>
  <c r="B118" i="2"/>
  <c r="B119" i="2" s="1"/>
  <c r="B120" i="2" s="1"/>
  <c r="B121" i="2" s="1"/>
  <c r="B122" i="2" s="1"/>
  <c r="B123" i="2" s="1"/>
  <c r="B124" i="2" s="1"/>
  <c r="B125" i="2" s="1"/>
  <c r="B126" i="2" s="1"/>
  <c r="B127" i="2" s="1"/>
  <c r="B128" i="2" s="1"/>
  <c r="B129" i="2" s="1"/>
  <c r="B130" i="2" s="1"/>
  <c r="B131" i="2" s="1"/>
  <c r="B132" i="2" s="1"/>
  <c r="B133" i="2" s="1"/>
  <c r="B112" i="2"/>
  <c r="B113" i="2" s="1"/>
  <c r="B114" i="2" s="1"/>
  <c r="B115" i="2" s="1"/>
  <c r="B116" i="2" s="1"/>
  <c r="B117" i="2" s="1"/>
  <c r="B111" i="2"/>
  <c r="C108" i="2"/>
  <c r="C107" i="2"/>
  <c r="C106" i="2"/>
  <c r="C105" i="2"/>
  <c r="C104" i="2"/>
  <c r="C103" i="2"/>
  <c r="C102" i="2"/>
  <c r="C101" i="2"/>
  <c r="B101" i="2"/>
  <c r="B102" i="2" s="1"/>
  <c r="B103" i="2" s="1"/>
  <c r="B104" i="2" s="1"/>
  <c r="B105" i="2" s="1"/>
  <c r="B106" i="2" s="1"/>
  <c r="B107" i="2" s="1"/>
  <c r="B108" i="2" s="1"/>
  <c r="C3" i="2" l="1"/>
  <c r="B4" i="2"/>
  <c r="B5" i="2" s="1"/>
  <c r="C4" i="2" l="1"/>
  <c r="B6" i="2"/>
  <c r="C5" i="2"/>
  <c r="B7" i="2" l="1"/>
  <c r="C6" i="2"/>
  <c r="B8" i="2" l="1"/>
  <c r="C7" i="2"/>
  <c r="B9" i="2" l="1"/>
  <c r="C8" i="2"/>
  <c r="B10" i="2" l="1"/>
  <c r="C9" i="2"/>
  <c r="B11" i="2" l="1"/>
  <c r="C10" i="2"/>
  <c r="B12" i="2" l="1"/>
  <c r="C11" i="2"/>
  <c r="B13" i="2" l="1"/>
  <c r="C12" i="2"/>
  <c r="B14" i="2" l="1"/>
  <c r="C13" i="2"/>
  <c r="B15" i="2" l="1"/>
  <c r="C14" i="2"/>
  <c r="B16" i="2" l="1"/>
  <c r="C15" i="2"/>
  <c r="B17" i="2" l="1"/>
  <c r="C16" i="2"/>
  <c r="B18" i="2" l="1"/>
  <c r="C17" i="2"/>
  <c r="B19" i="2" l="1"/>
  <c r="C18" i="2"/>
  <c r="B20" i="2" l="1"/>
  <c r="C19" i="2"/>
  <c r="B21" i="2" l="1"/>
  <c r="C20" i="2"/>
  <c r="B22" i="2" l="1"/>
  <c r="C21" i="2"/>
  <c r="B23" i="2" l="1"/>
  <c r="C22" i="2"/>
  <c r="B24" i="2" l="1"/>
  <c r="C23" i="2"/>
  <c r="B25" i="2" l="1"/>
  <c r="C24" i="2"/>
  <c r="B26" i="2" l="1"/>
  <c r="C25" i="2"/>
  <c r="B27" i="2" l="1"/>
  <c r="C26" i="2"/>
  <c r="B28" i="2" l="1"/>
  <c r="C27" i="2"/>
  <c r="B29" i="2" l="1"/>
  <c r="C28" i="2"/>
  <c r="B30" i="2" l="1"/>
  <c r="B31" i="2" s="1"/>
  <c r="C29" i="2"/>
  <c r="B32" i="2" l="1"/>
  <c r="C31" i="2"/>
  <c r="C30" i="2"/>
  <c r="B33" i="2" l="1"/>
  <c r="C32" i="2"/>
  <c r="B34" i="2" l="1"/>
  <c r="C33" i="2"/>
  <c r="B35" i="2" l="1"/>
  <c r="C34" i="2"/>
  <c r="B36" i="2" l="1"/>
  <c r="C35" i="2"/>
  <c r="B37" i="2" l="1"/>
  <c r="C36" i="2"/>
  <c r="B38" i="2" l="1"/>
  <c r="B39" i="2" s="1"/>
  <c r="C37" i="2"/>
  <c r="B40" i="2" l="1"/>
  <c r="C39" i="2"/>
  <c r="C38" i="2"/>
  <c r="B41" i="2" l="1"/>
  <c r="C40" i="2"/>
  <c r="B42" i="2" l="1"/>
  <c r="C41" i="2"/>
  <c r="B43" i="2" l="1"/>
  <c r="C42" i="2"/>
  <c r="B44" i="2" l="1"/>
  <c r="C43" i="2"/>
  <c r="B45" i="2" l="1"/>
  <c r="C44" i="2"/>
  <c r="B46" i="2" l="1"/>
  <c r="C45" i="2"/>
  <c r="B47" i="2" l="1"/>
  <c r="C46" i="2"/>
  <c r="B48" i="2" l="1"/>
  <c r="C47" i="2"/>
  <c r="B49" i="2" l="1"/>
  <c r="C48" i="2"/>
  <c r="B50" i="2" l="1"/>
  <c r="C49" i="2"/>
  <c r="B51" i="2" l="1"/>
  <c r="C50" i="2"/>
  <c r="B52" i="2" l="1"/>
  <c r="B53" i="2" s="1"/>
  <c r="C51" i="2"/>
  <c r="B54" i="2" l="1"/>
  <c r="C53" i="2"/>
  <c r="C52" i="2"/>
  <c r="B55" i="2" l="1"/>
  <c r="C54" i="2"/>
  <c r="B56" i="2" l="1"/>
  <c r="C55" i="2"/>
  <c r="B57" i="2" l="1"/>
  <c r="C56" i="2"/>
  <c r="B58" i="2" l="1"/>
  <c r="C57" i="2"/>
  <c r="B59" i="2" l="1"/>
  <c r="C58" i="2"/>
  <c r="B60" i="2" l="1"/>
  <c r="C59" i="2"/>
  <c r="B61" i="2" l="1"/>
  <c r="C60" i="2"/>
  <c r="B62" i="2" l="1"/>
  <c r="C61" i="2"/>
  <c r="C62" i="2" l="1"/>
  <c r="B64" i="2"/>
  <c r="C64" i="2" l="1"/>
  <c r="B65" i="2"/>
  <c r="C65" i="2" l="1"/>
  <c r="B66" i="2"/>
  <c r="B67" i="2" l="1"/>
  <c r="C66" i="2"/>
  <c r="B68" i="2" l="1"/>
  <c r="C67" i="2"/>
  <c r="B69" i="2" l="1"/>
  <c r="C68" i="2"/>
  <c r="B70" i="2" l="1"/>
  <c r="C69" i="2"/>
  <c r="B71" i="2" l="1"/>
  <c r="C70" i="2"/>
  <c r="B72" i="2" l="1"/>
  <c r="C71" i="2"/>
  <c r="B73" i="2" l="1"/>
  <c r="C72" i="2"/>
  <c r="B74" i="2" l="1"/>
  <c r="C73" i="2"/>
  <c r="B75" i="2" l="1"/>
  <c r="C74" i="2"/>
  <c r="B76" i="2" l="1"/>
  <c r="C75" i="2"/>
  <c r="B77" i="2" l="1"/>
  <c r="C76" i="2"/>
  <c r="B78" i="2" l="1"/>
  <c r="C77" i="2"/>
  <c r="B79" i="2" l="1"/>
  <c r="C78" i="2"/>
  <c r="B80" i="2" l="1"/>
  <c r="C79" i="2"/>
  <c r="B81" i="2" l="1"/>
  <c r="C80" i="2"/>
  <c r="B82" i="2" l="1"/>
  <c r="C81" i="2"/>
  <c r="B83" i="2" l="1"/>
  <c r="C82" i="2"/>
  <c r="C83" i="2" l="1"/>
  <c r="B86" i="2" l="1"/>
  <c r="C85" i="2"/>
  <c r="B87" i="2" l="1"/>
  <c r="C86" i="2"/>
  <c r="B88" i="2" l="1"/>
  <c r="C87" i="2"/>
  <c r="B89" i="2" l="1"/>
  <c r="C88" i="2"/>
  <c r="B90" i="2" l="1"/>
  <c r="C89" i="2"/>
  <c r="B91" i="2" l="1"/>
  <c r="C90" i="2"/>
  <c r="B92" i="2" l="1"/>
  <c r="C91" i="2"/>
  <c r="B93" i="2" l="1"/>
  <c r="C92" i="2"/>
  <c r="B94" i="2" l="1"/>
  <c r="C93" i="2"/>
  <c r="B95" i="2" l="1"/>
  <c r="C94" i="2"/>
  <c r="B96" i="2" l="1"/>
  <c r="C95" i="2"/>
  <c r="B97" i="2" l="1"/>
  <c r="C96" i="2"/>
  <c r="B98" i="2" l="1"/>
  <c r="C97" i="2"/>
  <c r="B99" i="2" l="1"/>
  <c r="C98" i="2"/>
  <c r="B100" i="2" l="1"/>
  <c r="C100" i="2" s="1"/>
  <c r="C99" i="2"/>
</calcChain>
</file>

<file path=xl/sharedStrings.xml><?xml version="1.0" encoding="utf-8"?>
<sst xmlns="http://schemas.openxmlformats.org/spreadsheetml/2006/main" count="686" uniqueCount="322">
  <si>
    <t>BITS</t>
  </si>
  <si>
    <t>FUNCTION</t>
  </si>
  <si>
    <t>Not Used</t>
  </si>
  <si>
    <t>Register Name</t>
  </si>
  <si>
    <t>31..0</t>
  </si>
  <si>
    <t>9..0</t>
  </si>
  <si>
    <t>31..10</t>
  </si>
  <si>
    <t>Amplitude of the RF waveform that the DDS is to generate</t>
  </si>
  <si>
    <t>15..0</t>
  </si>
  <si>
    <t>LMK Status 2 (pin 48 of the LMK), 1 = PLL2 lock</t>
  </si>
  <si>
    <t>lmk_clkin1_sel, 1 = ckin1 selected to go to PLL1</t>
  </si>
  <si>
    <t>LMK Status 1 (pin 31 of the LMK), 1 = PLL1 lock, 0 = outputs disabled if cklin0 is selected</t>
  </si>
  <si>
    <t>31..16</t>
  </si>
  <si>
    <t>Notes:</t>
  </si>
  <si>
    <t>lmk_clkin0_sel, 1= clkin0 selected to go to PLL1</t>
  </si>
  <si>
    <t>Buffer to read and write information (mainly used for passing diagnostics information).  FPGA will take no action.</t>
  </si>
  <si>
    <t>Channel 1 number of action commands</t>
  </si>
  <si>
    <t>Channel 3 number of action commands</t>
  </si>
  <si>
    <t>Channel 2 number of action commands</t>
  </si>
  <si>
    <t>Action command address space</t>
  </si>
  <si>
    <t>Note used</t>
  </si>
  <si>
    <t>Diagnostic R-W: Buffer for reading and writing information - Read/Write</t>
  </si>
  <si>
    <t>20..0</t>
  </si>
  <si>
    <t>31..21</t>
  </si>
  <si>
    <t>Amplitude =&gt; Amplitude of the RF waveform. Max = 3FF (i.e. 10 bits)</t>
  </si>
  <si>
    <t>[2] When the RTW is set to zero there will be no LFM.  The RTW is calculated as shown below.</t>
  </si>
  <si>
    <t>CMD#</t>
  </si>
  <si>
    <t>[1] Each set of action commands contains the described data sent in the sequence shown</t>
  </si>
  <si>
    <t xml:space="preserve">Reserved </t>
  </si>
  <si>
    <t>Reg #</t>
  </si>
  <si>
    <t>Addr Offset</t>
  </si>
  <si>
    <t>Direction</t>
  </si>
  <si>
    <t>FW Revision</t>
  </si>
  <si>
    <t>Overall Board Status</t>
  </si>
  <si>
    <t>Board Control</t>
  </si>
  <si>
    <t>Read Only</t>
  </si>
  <si>
    <t>Write Only</t>
  </si>
  <si>
    <t>Write/Read</t>
  </si>
  <si>
    <t>Gated CW Emulator "on" Duration</t>
  </si>
  <si>
    <t>Gated CW Emulator Period</t>
  </si>
  <si>
    <t>Trigger Timeout</t>
  </si>
  <si>
    <t>Spare</t>
  </si>
  <si>
    <t>FPGA Revision:  15..8 Major Revision 7..0 minor revision.  Ex: 0x030B = Rev 3.11</t>
  </si>
  <si>
    <t>Read</t>
  </si>
  <si>
    <t>N/A</t>
  </si>
  <si>
    <t>R/W</t>
  </si>
  <si>
    <t>Default</t>
  </si>
  <si>
    <t>Notes</t>
  </si>
  <si>
    <t>Manual BIT result: 0 = Passed, 1 = Failed</t>
  </si>
  <si>
    <t>TR Module ready: 1 when initialization and BIT complete at POR</t>
  </si>
  <si>
    <t>Memory test valid: 0 = Passed 1 Failed</t>
  </si>
  <si>
    <t>Trigger timeout Error:  When this bit(s) is high there was a timeout waiting for the trigger</t>
  </si>
  <si>
    <t>RF BIT check (ADC lookback check).  A '1' on any bit = failed check</t>
  </si>
  <si>
    <t>0x0000</t>
  </si>
  <si>
    <t>Start =&gt; Time from Rhop Rising edge until Tx start.  Time = Start Value * (1/200E6)</t>
  </si>
  <si>
    <t>Stop =&gt; Time from Rhop Rising edge until Tx stop.  Time = Stop Value * (1/200E6)</t>
  </si>
  <si>
    <t>POW =&gt; 32-bit Phase Offset Word</t>
  </si>
  <si>
    <t>FTW =&gt; 32-bit Frequency Tuning Word</t>
  </si>
  <si>
    <t>Spare =&gt; Reserved for future use</t>
  </si>
  <si>
    <t>Write/(read)</t>
  </si>
  <si>
    <t>[2] When a channel is set to disabled the DDS accumulator will be reset.  At a system level this will nullify any calibration to refence signal that has been performed.</t>
  </si>
  <si>
    <t>Channel 3 Enable: 0 = disabled, 1 = Enabled</t>
  </si>
  <si>
    <t>Channel 2 Enable: 0 = disabled, 1 = Enabled</t>
  </si>
  <si>
    <t>Channel 1 Enable: 0 = disabled, 1 = Enabled</t>
  </si>
  <si>
    <t>Channel 3 Up / Down select for LFM ramp:  0 = down, 1 = up</t>
  </si>
  <si>
    <t>Channel 2 Up / Down select for LFM ramp:  0 = down, 1 = up</t>
  </si>
  <si>
    <t>Channel 1 Up / Down select for LFM ramp:  0 = down, 1 = up</t>
  </si>
  <si>
    <t>0x3FF</t>
  </si>
  <si>
    <t xml:space="preserve">Frequency Tuning word of the RF waveform that the DDS is to generate. </t>
  </si>
  <si>
    <t>Phase Offset Word of the RF waveform that the DDS is to generate.</t>
  </si>
  <si>
    <t>0x00000000</t>
  </si>
  <si>
    <t>Wirte/(read)</t>
  </si>
  <si>
    <t>Gated CW Duration: Set time output is active. Time on = Value * 5ns</t>
  </si>
  <si>
    <t>1,2,3</t>
  </si>
  <si>
    <t>0x0000C350</t>
  </si>
  <si>
    <t>Gated CW Period:  Sets frequency of GCW outputs (only used when Rho-P source set to internal): Pulsed Period = Value * 5ns</t>
  </si>
  <si>
    <t>0x00989680</t>
  </si>
  <si>
    <t>NOTES:</t>
  </si>
  <si>
    <t>Rho-P Wait Timeout: Timeout = Register Value * 5ns</t>
  </si>
  <si>
    <t>1, 2</t>
  </si>
  <si>
    <t>[2] This setting determines how long the DDS state machine will wait for a trigger after action commands are received.</t>
  </si>
  <si>
    <t>[1] The Emulator GCW Duration and Period settings are applied at all four output channels</t>
  </si>
  <si>
    <t xml:space="preserve">[2] The diagrams below defines the outputs for Emulated GCW Mode.  </t>
  </si>
  <si>
    <t>[3] The FPGA will apply a default setting of 10,000,000 (50ms)</t>
  </si>
  <si>
    <t xml:space="preserve">[2] The diagrams below define the outputs for Emulated GCW Mode.  </t>
  </si>
  <si>
    <t>[3] The FPGA will apply a default setting of 50000(250us)</t>
  </si>
  <si>
    <t>Channel 0 Enable: 0 = disabled, 1 = Enabled</t>
  </si>
  <si>
    <t>Channel 0 Up / Down select for LFM ramp:  0 = down, 1 = up</t>
  </si>
  <si>
    <t>Channel 3 Control Mode:  0 = INIT mode, 1 = PBP mode</t>
  </si>
  <si>
    <t>Channel 2 Control Mode:  0 = INIT mode, 1 = PBP mode</t>
  </si>
  <si>
    <t>Channel 1 Control Mode:  0 = INIT mode, 1 = PBP mode</t>
  </si>
  <si>
    <t>Run BIT:  0 --&gt; 1 runs BIT (edge detect).  Updates status registers after BIT is complete.  Can only be run when all channels in INIT mode.</t>
  </si>
  <si>
    <t>Channel 0 Control Mode:  0 = INIT mode, 1 = PBP mode</t>
  </si>
  <si>
    <t>Channel 0 Amplitude (INIT mode register)</t>
  </si>
  <si>
    <t>Channel 0 Frequency Tuning Word (INIT mode register)</t>
  </si>
  <si>
    <t>Channel 1 Amplitude (INIT mode register)</t>
  </si>
  <si>
    <t>Channel 1 Frequency Tuning Word (INIT mode register)</t>
  </si>
  <si>
    <t>Channel 1 Phase Code (INIT mode register)</t>
  </si>
  <si>
    <t>Channel 2 Amplitude(INIT mode register)</t>
  </si>
  <si>
    <t>Channel 2 Frequency Tuning Word (INIT mode register)</t>
  </si>
  <si>
    <t>Channel 2 Phase Code (INIT mode register)</t>
  </si>
  <si>
    <t>Channel 3 Amplitude (INIT mode register)</t>
  </si>
  <si>
    <t>Channel 3 Phase Offset LSB (INIT mode register)</t>
  </si>
  <si>
    <t>Channel 3 Frequency Tuning Word (INIT mode register)</t>
  </si>
  <si>
    <t>Channel 3 Phase Code (INIT mode register)</t>
  </si>
  <si>
    <t>00</t>
  </si>
  <si>
    <t>Software Tigger:  Trigger requires bit transition 0 --&gt; 1 (edge detect)</t>
  </si>
  <si>
    <t>[1] INIT mode is used at power up to verify the TR module function.  The Channel Enable bits are only checked in this mode.  When reverting back to this mode all action commands will be completed first.</t>
  </si>
  <si>
    <t>Channel 0 number of action commands</t>
  </si>
  <si>
    <t>Command Mode: 1 = Use INIT register Values in PBP mode, 0 = Use Action Command registers in PBP mode</t>
  </si>
  <si>
    <t>[1]: Scales linearly as the value is reduced:
1 (full) amplitude = 3FF
3/4 amplitude = 2FF
1/2 amplitude = 1FF
1/4 amplitude = 0FF</t>
  </si>
  <si>
    <t xml:space="preserve">LFM Ramp Tuning word of the RF waveform that the DDS is to generate. </t>
  </si>
  <si>
    <t>[1] The Ramp Tuning word (RTW) is used to generate a Linear Frequency Modulated (LFM) pulsed waveform.  The RTW defines the increase in frequency from the start to end of a pulsed output waveform</t>
  </si>
  <si>
    <t>[3] Example for an LFM BW of 2MHz across a 250us pulse duration</t>
  </si>
  <si>
    <t>[5] Ramp up or Ramp down is controlled by board control register bits 8 to 11 (0=down and 1=up).</t>
  </si>
  <si>
    <t xml:space="preserve">[4] The DDS Frequency to use in the equation is 200MHz but 800Mhz is used to calculate the FTWs (because four DDS cores are used per channel).   Note the actual start and stop frequency do not matter, just the change in Frequency.  The Starting Frequency of the LFM ramp will be the frequency set by the FTW (Channel Frequency) register value.  </t>
  </si>
  <si>
    <t>1 to 6</t>
  </si>
  <si>
    <t>Channel 0 Phase Offset (INIT mode register)</t>
  </si>
  <si>
    <t>Channel 1 Phase Offset (INIT mode register)</t>
  </si>
  <si>
    <t>Channel 2 Phase Offset (INIT mode register)</t>
  </si>
  <si>
    <t>Channel 2 LFM Ramp tuning word (INIT mode register)</t>
  </si>
  <si>
    <t>Channel 0 LFM Ramp Tuning Word (INIT mode register)</t>
  </si>
  <si>
    <t>Channel 1 LFM Ramp Tuning Word (INIT mode register)</t>
  </si>
  <si>
    <t>Channel 3 LFM Ramp Tuning Word (INIT mode register)</t>
  </si>
  <si>
    <t>[2] Example Calculation for 23MHz</t>
  </si>
  <si>
    <t>[1]: The Frequency Tuning Word (FTW) defines the output waveform frequency.   The maximum output frequency used for this calculation must less than 200MHz.  Below is the FTW calculation:</t>
  </si>
  <si>
    <t>[3]: 800MHz is used as the equivalent DDS clock frequency for calculating FTW because four DDS cores are used per channel running at 200MHz.  Adjustment to parameters to use four cores per channel are done in the Firmware.  The output frequency is still limited by the 200MHz clock running each DSS, more cores provided more samples per cycle.  This allows output frequencies greater than 1/2*DDS clock but not more than the DDS clock.</t>
  </si>
  <si>
    <t>[4] A calculation spreadsheet is available. Also note final values must be whole numbers</t>
  </si>
  <si>
    <t>[6] A calculation spreadsheet is available.  Also note final values must be whole numbers</t>
  </si>
  <si>
    <t>1, 2, 3, 4</t>
  </si>
  <si>
    <t>0x75C28F6</t>
  </si>
  <si>
    <t>[1] Phase Offset Word (POW) – This value defines a phase offset for the output waveform.  It is the same depth as the FTW.  The phase shift is always “added” to output waveform.   The POW calculation is:</t>
  </si>
  <si>
    <t xml:space="preserve">Start of pulsed waveform output after Trigger in Counts.  Counts = Start Time / 5ns </t>
  </si>
  <si>
    <t>[3]: There can be up to 50 actions in a pulse burst period (PBP), so there can be upto 50 Start Times.  Each Start Time is based on the input Trigger NOT the duration or stop time of the pervious pulse.</t>
  </si>
  <si>
    <t xml:space="preserve">Stop time of a pulsed waveform output after Trigger in Counts.  Counts = Stop Time / 5ns </t>
  </si>
  <si>
    <t>[1]: The start time define when the pulsed (gated) output waveform will start after the Input Trigger.  The start time is represened in FPGA clock cycle counts.  Below is the calculation for start time</t>
  </si>
  <si>
    <t>[2] Example for an output pulse with 250us duration with a start time of 10us.</t>
  </si>
  <si>
    <t>[2] Example for pulse output start 10us after Input Trigger</t>
  </si>
  <si>
    <t>[1]: The stop time defines the duration of the pulsed (gated) output waveform.  The stop time is represented in FPGA clock cycle counts.  Like the Start Time, Stop Time is based on counts after the Input Trigger.  This means that a pulse duration is defined as Stop Time – Start Time.    Below is the calculation for stop time in general and a second equation on calcualting stop time with start time and duration</t>
  </si>
  <si>
    <t>[3]: There can be up to 50 actions in a pulse burst period (PBP), so there can be upto 50 Stop Times.  Each Stop Time is based on the input Trigger NOT the duration or start/stop time of the pervious pulse.</t>
  </si>
  <si>
    <t>Number of chips (i.e. segments.  The first appliction should be using 275)</t>
  </si>
  <si>
    <t>Chip (segment) length in counts.  For the fitst application this is 1280 (1280*5ns = 6.4us)</t>
  </si>
  <si>
    <t>[1] 275 is the number for the fitst target implementation.  If this changes the the ROM shift key table in the FPGA might need to changed.</t>
  </si>
  <si>
    <t>[2] 6.4us (1280 counts) is the number for the fitst target implementation.  If this changes the the ROM shift key table in the FPGA might need to changed.</t>
  </si>
  <si>
    <t>Channel 0 BPSK mode: 0 = Normal mode, 1 = BPSK mode (PBSK is a special sub-mode to PBP mode)</t>
  </si>
  <si>
    <t>Soft reset: When set to 1 will reset certain code sections and reset state machines</t>
  </si>
  <si>
    <t>Load Commands Status:  High while writing action commands.  Must transition 1 -&gt; 0 (edge detect) when action command load complete</t>
  </si>
  <si>
    <t>[3] When enabled the PBP state machine will timeout after "Trigger Timeout" registers clocks have  passed and reset the state machine.  When disabled the state machine will wait for a trigger forever unless a soft reset is applied or the unit is power cycled</t>
  </si>
  <si>
    <t>[4] When set to one the INIT register values are used in place of the Action Command Values.  In this mode only a single action is performed per PBP.  The duration of this single action (gated CW pulse) is defined by the Gated CW Emulator "on" Duration Register value.  This is meant to be a test mode only.  When using this mode the "number of actions" register(s) should be set to one and the Load Command Status register does not have to be toggled.</t>
  </si>
  <si>
    <r>
      <rPr>
        <sz val="10"/>
        <color rgb="FFFF0000"/>
        <rFont val="Arial"/>
        <family val="2"/>
      </rPr>
      <t>[5]</t>
    </r>
    <r>
      <rPr>
        <sz val="10"/>
        <color theme="1"/>
        <rFont val="Arial"/>
        <family val="2"/>
      </rPr>
      <t xml:space="preserve"> This signal must transition from 1 --&gt; 0 once action commands have been loaded.  This must occur at least </t>
    </r>
    <r>
      <rPr>
        <b/>
        <sz val="10"/>
        <color theme="1"/>
        <rFont val="Arial"/>
        <family val="2"/>
      </rPr>
      <t>100us</t>
    </r>
    <r>
      <rPr>
        <sz val="10"/>
        <color theme="1"/>
        <rFont val="Arial"/>
        <family val="2"/>
      </rPr>
      <t xml:space="preserve"> before the trigger these commands are meant be run for.</t>
    </r>
  </si>
  <si>
    <t>[6]  This sub-mode is the Binary Phase Shift Key mode or sometimes called the Barker Code mode.  This mode will use the action commands Start Time, Amplitude, Phase Offset, Frequency, and Phase Code.  This mode is a CW waveform with a series of phase changes which starts after the Input Trigger based on Start Time.  The segment length and  number of possible phase changes are defined in the Phase Code register.  The shift keys are fixed and stored as a ROM in the FPGA.  When running this mode it is best to set the INIT registers to the same  value that will be used for the action commands for amplitude, phase offset, frequency, and Phase Code.</t>
  </si>
  <si>
    <t>Channel 3 BPSK mode: 0 = Normal mode, 1 = BPSK mode (PBSK is a special sub-mode to PBP mode)</t>
  </si>
  <si>
    <t>Channel 2 BPSK mode: 0 = Normal mode, 1 = BPSK mode (PBSK is a special sub-mode to PBP mode)</t>
  </si>
  <si>
    <t>Channel 1 BPSK mode: 0 = Normal mode, 1 = BPSK mode (PBSK is a special sub-mode to PBP mode)</t>
  </si>
  <si>
    <t>22..21</t>
  </si>
  <si>
    <t>LMK Read data:  shows data read from the LMK</t>
  </si>
  <si>
    <t>LMK Address:  LMK Address for the read/write operation</t>
  </si>
  <si>
    <t>7..0</t>
  </si>
  <si>
    <t>15..8</t>
  </si>
  <si>
    <t>Start LMK read or Write:  0 --&gt; 1 rising edge dectect</t>
  </si>
  <si>
    <t>LMK Read or Write: Read = 1 Write = 0</t>
  </si>
  <si>
    <t>28..16</t>
  </si>
  <si>
    <t>Unsused</t>
  </si>
  <si>
    <t>Write</t>
  </si>
  <si>
    <t>29..25</t>
  </si>
  <si>
    <t>Not used</t>
  </si>
  <si>
    <t>LMK Write Data: data to write to the LMK</t>
  </si>
  <si>
    <t>Channel 0 Start Time Action 1</t>
  </si>
  <si>
    <t>Channel 0 Stop Time Action 1</t>
  </si>
  <si>
    <t>Channel 0 Amplitude Action 1</t>
  </si>
  <si>
    <t>Channel 0 Phase Offset Action 1</t>
  </si>
  <si>
    <t>Channel 0 Frequency tunning word Action 1</t>
  </si>
  <si>
    <t>Channel 0 LFM tuning word Action 1</t>
  </si>
  <si>
    <t>Channel 0 Phase Code Action 1</t>
  </si>
  <si>
    <t>Channel 0 Spare Action 1</t>
  </si>
  <si>
    <t>Phase Code =&gt; Selection of pre-defined phase code type</t>
  </si>
  <si>
    <t>RTW =&gt; 32-bit LFM Ramp Tuning Word</t>
  </si>
  <si>
    <t>Channel 0 Start Time Action 2</t>
  </si>
  <si>
    <t>Channel 0 Stop Time Action 2</t>
  </si>
  <si>
    <t>Channel 0 Amplitude Action 2</t>
  </si>
  <si>
    <t>Channel 0 Phase Offset Action 2</t>
  </si>
  <si>
    <t>Channel 0 Frequency tunning word Action 2</t>
  </si>
  <si>
    <t>Channel 0 LFM tuning word Action 2</t>
  </si>
  <si>
    <t>Channel 0 Phase Code Action 2</t>
  </si>
  <si>
    <t>Channel 0 Spare Action 2</t>
  </si>
  <si>
    <t>.
.
.</t>
  </si>
  <si>
    <t>Channel 0 Start Time Action 50</t>
  </si>
  <si>
    <t>Channel 0 Stop Time Action 50</t>
  </si>
  <si>
    <t>Channel 0 Amplitude Action 50</t>
  </si>
  <si>
    <t>Channel 0 Phase Offset Action 50</t>
  </si>
  <si>
    <t>Channel 0 Frequency tunning word Action 50</t>
  </si>
  <si>
    <t>Channel 0 LFM tuning word Action 50</t>
  </si>
  <si>
    <t>Channel 0 Phase Code Action 50</t>
  </si>
  <si>
    <t>Channel 0 Spare Action 50</t>
  </si>
  <si>
    <t>Channel 1 Start Time Action 1</t>
  </si>
  <si>
    <t>Channel 1 Stop Time Action 1</t>
  </si>
  <si>
    <t>Channel 1 Amplitude Action 1</t>
  </si>
  <si>
    <t>Channel 1 Phase Offset Action 1</t>
  </si>
  <si>
    <t>Channel 1 Frequency tunning word Action 1</t>
  </si>
  <si>
    <t>Channel 1 LFM tuning word Action 1</t>
  </si>
  <si>
    <t>Channel 1 Phase Code Action 1</t>
  </si>
  <si>
    <t>Channel 1 Spare Action 1</t>
  </si>
  <si>
    <t>Channel 1 Start Time Action 2</t>
  </si>
  <si>
    <t>Channel 1 Stop Time Action 2</t>
  </si>
  <si>
    <t>Channel 1 Amplitude Action 2</t>
  </si>
  <si>
    <t>Channel 1 Phase Offset Action 2</t>
  </si>
  <si>
    <t>Channel 1 Frequency tunning word Action 2</t>
  </si>
  <si>
    <t>Channel 1 LFM tuning word Action 2</t>
  </si>
  <si>
    <t>Channel 1 Phase Code Action 2</t>
  </si>
  <si>
    <t>Channel 1 Spare Action 2</t>
  </si>
  <si>
    <t>Channel 1 Start Time Action 50</t>
  </si>
  <si>
    <t>Channel 1 Stop Time Action 50</t>
  </si>
  <si>
    <t>Channel 1 Amplitude Action 50</t>
  </si>
  <si>
    <t>Channel 1 Phase Offset Action 50</t>
  </si>
  <si>
    <t>Channel 1 Frequency tunning word Action 50</t>
  </si>
  <si>
    <t>Channel 1 LFM tuning word Action 50</t>
  </si>
  <si>
    <t>Channel 1 Phase Code Action 50</t>
  </si>
  <si>
    <t>Channel 1 Spare Action 50</t>
  </si>
  <si>
    <t>Channel 2 Start Time Action 1</t>
  </si>
  <si>
    <t>Channel 2 Stop Time Action 1</t>
  </si>
  <si>
    <t>Channel 2 Amplitude Action 1</t>
  </si>
  <si>
    <t>Channel 2 Phase Offset Action 1</t>
  </si>
  <si>
    <t>Channel 2 Frequency tunning word Action 1</t>
  </si>
  <si>
    <t>Channel 2 LFM tuning word Action 1</t>
  </si>
  <si>
    <t>Channel 2 Phase Code Action 1</t>
  </si>
  <si>
    <t>Channel 2 Spare Action 1</t>
  </si>
  <si>
    <t>Channel 2 Start Time Action 2</t>
  </si>
  <si>
    <t>Channel 2 Stop Time Action 2</t>
  </si>
  <si>
    <t>Channel 2 Amplitude Action 2</t>
  </si>
  <si>
    <t>Channel 2 Phase Offset Action 2</t>
  </si>
  <si>
    <t>Channel 2 Frequency tunning word Action 2</t>
  </si>
  <si>
    <t>Channel 2 LFM tuning word Action 2</t>
  </si>
  <si>
    <t>Channel 2 Phase Code Action 2</t>
  </si>
  <si>
    <t>Channel 2 Spare Action 2</t>
  </si>
  <si>
    <t>Channel 2 Start Time Action 50</t>
  </si>
  <si>
    <t>Channel 2 Stop Time Action 50</t>
  </si>
  <si>
    <t>Channel 2 Amplitude Action 50</t>
  </si>
  <si>
    <t>Channel 2 Phase Offset Action 50</t>
  </si>
  <si>
    <t>Channel 2 Frequency tunning word Action 50</t>
  </si>
  <si>
    <t>Channel 2 LFM tuning word Action 50</t>
  </si>
  <si>
    <t>Channel 2 Phase Code Action 50</t>
  </si>
  <si>
    <t>Channel 2 Spare Action 50</t>
  </si>
  <si>
    <t>Channel 3 Start Time Action 1</t>
  </si>
  <si>
    <t>Channel 3 Stop Time Action 1</t>
  </si>
  <si>
    <t>Channel 3 Amplitude Action 1</t>
  </si>
  <si>
    <t>Channel 3 Phase Offset Action 1</t>
  </si>
  <si>
    <t>Channel 3 Frequency tunning word Action 1</t>
  </si>
  <si>
    <t>Channel 3 LFM tuning word Action 1</t>
  </si>
  <si>
    <t>Channel 3 Phase Code Action 1</t>
  </si>
  <si>
    <t>Channel 3 Spare Action 1</t>
  </si>
  <si>
    <t>Channel 3 Start Time Action 2</t>
  </si>
  <si>
    <t>Channel 3 Stop Time Action 2</t>
  </si>
  <si>
    <t>Channel 3 Amplitude Action 2</t>
  </si>
  <si>
    <t>Channel 3 Phase Offset Action 2</t>
  </si>
  <si>
    <t>Channel 3 Frequency tunning word Action 2</t>
  </si>
  <si>
    <t>Channel 3 LFM tuning word Action 2</t>
  </si>
  <si>
    <t>Channel 3 Phase Code Action 2</t>
  </si>
  <si>
    <t>Channel 3 Spare Action 2</t>
  </si>
  <si>
    <t>Channel 3 Start Time Action 50</t>
  </si>
  <si>
    <t>Channel 3 Stop Time Action 50</t>
  </si>
  <si>
    <t>Channel 3 Amplitude Action 50</t>
  </si>
  <si>
    <t>Channel 3 Phase Offset Action 50</t>
  </si>
  <si>
    <t>Channel 3 Frequency tunning word Action 50</t>
  </si>
  <si>
    <t>Channel 3 LFM tuning word Action 50</t>
  </si>
  <si>
    <t>Channel 3 Phase Code Action 50</t>
  </si>
  <si>
    <t>Channel 3 Spare Action 50</t>
  </si>
  <si>
    <t>[1] Current Version 0.0 (0x0000)</t>
  </si>
  <si>
    <t>0x0500</t>
  </si>
  <si>
    <t>0x0113</t>
  </si>
  <si>
    <t>LMK Read/Write register</t>
  </si>
  <si>
    <t>Setting</t>
  </si>
  <si>
    <t>FPGA Die Temperature</t>
  </si>
  <si>
    <t>Max # actions per trigger</t>
  </si>
  <si>
    <t>High Temperature Alarm: 1 = A measured die temperature over a set threshold</t>
  </si>
  <si>
    <t>15..13</t>
  </si>
  <si>
    <t>Not Used / Reserved</t>
  </si>
  <si>
    <t>Over Temperature Alarm: 1 = The measured die temperature is over a critical value</t>
  </si>
  <si>
    <t>VCCINT Alarm: 1 = The measured voltage is outside a pre-set +/- threshold</t>
  </si>
  <si>
    <t>VCCAUX Alarm: 1 = The measured voltage is outside a pre-set +/- threshold</t>
  </si>
  <si>
    <t>VBRAM Alarm: 1 = The measured voltage is outside a pre-set +/- threshold</t>
  </si>
  <si>
    <r>
      <rPr>
        <b/>
        <sz val="11"/>
        <color theme="1"/>
        <rFont val="Calibri"/>
        <family val="2"/>
        <scheme val="minor"/>
      </rPr>
      <t>[3]</t>
    </r>
    <r>
      <rPr>
        <sz val="11"/>
        <color theme="1"/>
        <rFont val="Calibri"/>
        <family val="2"/>
        <scheme val="minor"/>
      </rPr>
      <t xml:space="preserve"> There are two temperture alarms for FPGA Die temperature.  The hihg temp alarm is only an inidicator that die temperture is high but not critical.  The Over temperature alarm indicates an die temperature that could be potentially harmful to the device.  Current Thresholds are:
High Temp: Alarm Set = 85C Alarm turn off after set = 80C
Over Temp: Alarm Set = 120C Alarm turn off after set = 95C</t>
    </r>
  </si>
  <si>
    <r>
      <rPr>
        <b/>
        <sz val="11"/>
        <color theme="1"/>
        <rFont val="Calibri"/>
        <family val="2"/>
        <scheme val="minor"/>
      </rPr>
      <t>[4]</t>
    </r>
    <r>
      <rPr>
        <sz val="11"/>
        <color theme="1"/>
        <rFont val="Calibri"/>
        <family val="2"/>
        <scheme val="minor"/>
      </rPr>
      <t xml:space="preserve"> The currenlty set voltage thresholds are shown below:
VCCINT: Lower: 0.78 Upper 0.92 (nominal 0.85)
VCCAUX: Lower: 1.75 Upper 1.89 (nominal 1.8)
VBRAM: Lower: 0.78 Upper 0.92 (nominal 0.85)</t>
    </r>
  </si>
  <si>
    <r>
      <rPr>
        <b/>
        <sz val="11"/>
        <color theme="1"/>
        <rFont val="Calibri"/>
        <family val="2"/>
        <scheme val="minor"/>
      </rPr>
      <t>[1]</t>
    </r>
    <r>
      <rPr>
        <sz val="11"/>
        <color theme="1"/>
        <rFont val="Calibri"/>
        <family val="2"/>
        <scheme val="minor"/>
      </rPr>
      <t xml:space="preserve"> When the DDS state machine gets "stuck" waiting for a trigger after action commands have been received this bit will be set.  The timeout setting is programable -- see the Trigger Timeout register.  When timeout occurs the state machine will be set back to the the start of the PBP Mode state.  This bit will be cleared once the next "action commands sent signal" is recieved.</t>
    </r>
  </si>
  <si>
    <t>ADC value of the Die Temperature Voltage reading</t>
  </si>
  <si>
    <t>[2] For referance ONLY:  Voltage to the internal ADC:</t>
  </si>
  <si>
    <t>[1] The following Equation can be used to calculate the Temperature in celcius based on the ADC count value.  Note:  Either the MSB 10-bits can used or the whole 16-bit value can be used for the below equaiton.  The ADCs are only 10-bit but the eniter 16-bits can used when averaging (averaging is set to 16 in the current design.</t>
  </si>
  <si>
    <t>DDS Status (Channel 0)</t>
  </si>
  <si>
    <t>[1] This status information if for test/debug and is only available for channel 0</t>
  </si>
  <si>
    <t>Channel 0 BPSK reg1</t>
  </si>
  <si>
    <t>Channel 0 BPSK reg2</t>
  </si>
  <si>
    <t>3..0</t>
  </si>
  <si>
    <t>Number of N Level chips</t>
  </si>
  <si>
    <t>Number of M Level chips</t>
  </si>
  <si>
    <t>0x05</t>
  </si>
  <si>
    <t>7..4</t>
  </si>
  <si>
    <t>20..8</t>
  </si>
  <si>
    <t>Chip (segment) length in counts.  Time = counts * 5ns</t>
  </si>
  <si>
    <t>[1] The max value for # of chips is currently 13</t>
  </si>
  <si>
    <t>Shift Key Pattern for level M:  + = 1 and - = 0</t>
  </si>
  <si>
    <t>0xB</t>
  </si>
  <si>
    <t>[3] The max chip length is 2^11 * 5ns or about 10us</t>
  </si>
  <si>
    <t>31..28</t>
  </si>
  <si>
    <t>Number of O Level chips</t>
  </si>
  <si>
    <t>Shift Key Pattern for level N:  + = 1 and - = 0</t>
  </si>
  <si>
    <t>27..26</t>
  </si>
  <si>
    <t>0x5</t>
  </si>
  <si>
    <t>Shift Key Pattern for level O:  + = 1 and - = 0</t>
  </si>
  <si>
    <t>12..0</t>
  </si>
  <si>
    <t>25..13</t>
  </si>
  <si>
    <t>[2] Each bit represents the chip sequnce value where a "+" is represented by a 1 and a "-" is represented by a 0.  The values when reading left to right are MSB to LSB.
Ex.  For 11 chips with a shift Key Sequence of + + + - - - + - - + - the 13 bits should be: 11100010010_00</t>
  </si>
  <si>
    <t>b'11100010010_00</t>
  </si>
  <si>
    <t>[2] Each bit represents the chip sequnce value where a "+" is represented by a 1 and a "-" is represented by a 0.  The values when reading left to right are MSB to LSB.
Ex.  For 5 chips with a shift Key Sequence of + + + - + the 13 bits should be: 11101_00000000</t>
  </si>
  <si>
    <t>b'11101_00000000</t>
  </si>
  <si>
    <t>Channel 3 Triger Timeout Enable: 1 = no time timeout, 0 = Use programmed time out value</t>
  </si>
  <si>
    <t>Channel 2 Triger Timeout Enable: 1 = no time timeout, 0 = Use programmed time out value</t>
  </si>
  <si>
    <t>Channel 1 Triger Timeout Enable: 1 = no time timeout, 0 = Use programmed time out value</t>
  </si>
  <si>
    <t>Channel 0 Triger Timeout Enable: 1 = no time timeout, 0 = Use programmed time out value</t>
  </si>
  <si>
    <t>0x0BEBC200</t>
  </si>
  <si>
    <t>[1] The FPGA sets a default setting of 200,000,00 (1s)</t>
  </si>
  <si>
    <r>
      <rPr>
        <b/>
        <sz val="11"/>
        <color theme="1"/>
        <rFont val="Calibri"/>
        <family val="2"/>
        <scheme val="minor"/>
      </rPr>
      <t xml:space="preserve">[2] </t>
    </r>
    <r>
      <rPr>
        <sz val="11"/>
        <color theme="1"/>
        <rFont val="Calibri"/>
        <family val="2"/>
        <scheme val="minor"/>
      </rPr>
      <t>Not implemented in the ZCU208 Evaluation board version (defaults are hardcoded)</t>
    </r>
  </si>
  <si>
    <t>Trigger Mode: 
00 = Use External Trigger 
01 = Use Internally Generated Tigger based on the Gated CW Emulator Period Register (test mode)
10 = Use Software Generated Trigger by toggling control register bit 23 from 0 to 1 to 0 (test mode)
11 = External Trigger, Internally generated Load Commands (usually controlled by bit 24) (test mode)</t>
  </si>
  <si>
    <t xml:space="preserve">Extender Card I/O select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</si>
</sst>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0"/>
      <color theme="1"/>
      <name val="Arial"/>
      <family val="2"/>
    </font>
    <font>
      <b/>
      <u/>
      <sz val="11"/>
      <color theme="1"/>
      <name val="Calibri"/>
      <family val="2"/>
      <scheme val="minor"/>
    </font>
    <font>
      <b/>
      <sz val="11"/>
      <color theme="1"/>
      <name val="Calibri"/>
      <family val="2"/>
      <scheme val="minor"/>
    </font>
    <font>
      <b/>
      <u/>
      <sz val="10"/>
      <color theme="1"/>
      <name val="Arial"/>
      <family val="2"/>
    </font>
    <font>
      <b/>
      <sz val="11"/>
      <color theme="0"/>
      <name val="Calibri"/>
      <family val="2"/>
      <scheme val="minor"/>
    </font>
    <font>
      <b/>
      <sz val="10"/>
      <color theme="0"/>
      <name val="Arial"/>
      <family val="2"/>
    </font>
    <font>
      <b/>
      <sz val="10"/>
      <color theme="1"/>
      <name val="Arial"/>
      <family val="2"/>
    </font>
    <font>
      <sz val="10"/>
      <color rgb="FFFF0000"/>
      <name val="Arial"/>
      <family val="2"/>
    </font>
    <font>
      <sz val="11"/>
      <name val="Calibri"/>
      <family val="2"/>
      <scheme val="minor"/>
    </font>
  </fonts>
  <fills count="7">
    <fill>
      <patternFill patternType="none"/>
    </fill>
    <fill>
      <patternFill patternType="gray125"/>
    </fill>
    <fill>
      <patternFill patternType="solid">
        <fgColor rgb="FF92D050"/>
        <bgColor indexed="64"/>
      </patternFill>
    </fill>
    <fill>
      <patternFill patternType="solid">
        <fgColor theme="4"/>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rgb="FFFFFF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56">
    <xf numFmtId="0" fontId="0" fillId="0" borderId="0" xfId="0"/>
    <xf numFmtId="0" fontId="0" fillId="0" borderId="0" xfId="0" applyAlignment="1">
      <alignment horizontal="left"/>
    </xf>
    <xf numFmtId="0" fontId="1" fillId="0" borderId="1" xfId="0" applyFont="1" applyBorder="1" applyAlignment="1">
      <alignment vertical="center" wrapText="1"/>
    </xf>
    <xf numFmtId="0" fontId="0" fillId="0" borderId="1" xfId="0" applyBorder="1" applyAlignment="1">
      <alignment horizontal="left"/>
    </xf>
    <xf numFmtId="0" fontId="0" fillId="0" borderId="1" xfId="0" applyBorder="1"/>
    <xf numFmtId="0" fontId="0" fillId="0" borderId="1" xfId="0" applyFill="1" applyBorder="1"/>
    <xf numFmtId="0" fontId="0" fillId="0" borderId="0" xfId="0" applyBorder="1"/>
    <xf numFmtId="0" fontId="0" fillId="0" borderId="0" xfId="0" applyFill="1"/>
    <xf numFmtId="0" fontId="1" fillId="0" borderId="0" xfId="0" applyFont="1" applyFill="1" applyBorder="1" applyAlignment="1">
      <alignment vertical="center" wrapText="1"/>
    </xf>
    <xf numFmtId="0" fontId="2" fillId="0" borderId="0" xfId="0" applyFont="1"/>
    <xf numFmtId="0" fontId="1" fillId="0" borderId="1" xfId="0" applyFont="1" applyFill="1" applyBorder="1" applyAlignment="1">
      <alignment vertical="center" wrapText="1"/>
    </xf>
    <xf numFmtId="0" fontId="0" fillId="0" borderId="0" xfId="0" applyBorder="1" applyAlignment="1">
      <alignment horizontal="left"/>
    </xf>
    <xf numFmtId="0" fontId="0" fillId="0" borderId="0" xfId="0" applyAlignment="1">
      <alignment wrapText="1"/>
    </xf>
    <xf numFmtId="0" fontId="3" fillId="0" borderId="0" xfId="0" applyFont="1"/>
    <xf numFmtId="0" fontId="0" fillId="0" borderId="0" xfId="0" applyAlignment="1">
      <alignment vertical="top" wrapText="1"/>
    </xf>
    <xf numFmtId="0" fontId="0" fillId="0" borderId="1" xfId="0" applyBorder="1" applyAlignment="1">
      <alignment horizontal="center"/>
    </xf>
    <xf numFmtId="0" fontId="0" fillId="0" borderId="1" xfId="0" applyFont="1" applyFill="1" applyBorder="1"/>
    <xf numFmtId="0" fontId="4" fillId="0" borderId="0" xfId="0" applyFont="1" applyFill="1" applyBorder="1" applyAlignment="1">
      <alignment vertical="center" wrapText="1"/>
    </xf>
    <xf numFmtId="0" fontId="1" fillId="0" borderId="0" xfId="0" applyFont="1" applyBorder="1" applyAlignment="1">
      <alignment vertical="center" wrapText="1"/>
    </xf>
    <xf numFmtId="0" fontId="5" fillId="3" borderId="1" xfId="0" applyFont="1" applyFill="1" applyBorder="1"/>
    <xf numFmtId="0" fontId="5" fillId="3" borderId="1" xfId="0" applyFont="1" applyFill="1" applyBorder="1" applyAlignment="1">
      <alignment horizontal="left"/>
    </xf>
    <xf numFmtId="0" fontId="6" fillId="3"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5" borderId="1" xfId="0" applyFont="1" applyFill="1" applyBorder="1" applyAlignment="1">
      <alignment horizontal="center" vertical="center" wrapText="1"/>
    </xf>
    <xf numFmtId="0" fontId="1" fillId="5" borderId="1" xfId="0" applyFont="1" applyFill="1" applyBorder="1" applyAlignment="1">
      <alignment vertical="center" wrapText="1"/>
    </xf>
    <xf numFmtId="0" fontId="0" fillId="5" borderId="1" xfId="0" applyFill="1" applyBorder="1"/>
    <xf numFmtId="0" fontId="0" fillId="5" borderId="1" xfId="0" applyFill="1" applyBorder="1" applyAlignment="1">
      <alignment horizontal="center"/>
    </xf>
    <xf numFmtId="0" fontId="0" fillId="0" borderId="1" xfId="0" applyFill="1" applyBorder="1" applyAlignment="1">
      <alignment wrapText="1"/>
    </xf>
    <xf numFmtId="0" fontId="0" fillId="5" borderId="1" xfId="0" applyFill="1" applyBorder="1" applyAlignment="1">
      <alignment wrapText="1"/>
    </xf>
    <xf numFmtId="0" fontId="0" fillId="0" borderId="1" xfId="0" applyFill="1" applyBorder="1" applyAlignment="1">
      <alignment horizontal="center"/>
    </xf>
    <xf numFmtId="0" fontId="0" fillId="2" borderId="1" xfId="0" applyFill="1" applyBorder="1"/>
    <xf numFmtId="0" fontId="1" fillId="0" borderId="0" xfId="0" applyFont="1" applyFill="1" applyBorder="1" applyAlignment="1">
      <alignment horizontal="left" vertical="center" wrapText="1"/>
    </xf>
    <xf numFmtId="0" fontId="0" fillId="0" borderId="1" xfId="0" quotePrefix="1" applyFill="1" applyBorder="1" applyAlignment="1">
      <alignment horizontal="center"/>
    </xf>
    <xf numFmtId="0" fontId="0" fillId="6" borderId="1" xfId="0" applyFill="1" applyBorder="1" applyAlignment="1">
      <alignment horizontal="center"/>
    </xf>
    <xf numFmtId="0" fontId="9" fillId="0" borderId="0" xfId="0" applyFont="1"/>
    <xf numFmtId="11" fontId="0" fillId="0" borderId="0" xfId="0" quotePrefix="1" applyNumberFormat="1"/>
    <xf numFmtId="0" fontId="0" fillId="0" borderId="0" xfId="0" quotePrefix="1"/>
    <xf numFmtId="0" fontId="0" fillId="5" borderId="1" xfId="0" applyFill="1" applyBorder="1" applyAlignment="1">
      <alignment horizontal="left"/>
    </xf>
    <xf numFmtId="0" fontId="0" fillId="0" borderId="0" xfId="0" applyBorder="1" applyAlignment="1">
      <alignment horizontal="center"/>
    </xf>
    <xf numFmtId="0" fontId="0" fillId="0" borderId="2" xfId="0" applyFill="1" applyBorder="1" applyAlignment="1">
      <alignment horizontal="center"/>
    </xf>
    <xf numFmtId="0" fontId="0" fillId="0" borderId="3" xfId="0" applyBorder="1"/>
    <xf numFmtId="0" fontId="3" fillId="0" borderId="3" xfId="0" applyFont="1" applyBorder="1" applyAlignment="1">
      <alignment wrapText="1"/>
    </xf>
    <xf numFmtId="0" fontId="0" fillId="0" borderId="4" xfId="0" applyBorder="1"/>
    <xf numFmtId="0" fontId="0" fillId="0" borderId="2" xfId="0" applyBorder="1"/>
    <xf numFmtId="0" fontId="0" fillId="0" borderId="5" xfId="0" applyBorder="1" applyAlignment="1">
      <alignment horizontal="center"/>
    </xf>
    <xf numFmtId="0" fontId="0" fillId="0" borderId="5" xfId="0" applyBorder="1"/>
    <xf numFmtId="0" fontId="0" fillId="0" borderId="6" xfId="0" applyFill="1" applyBorder="1" applyAlignment="1">
      <alignment horizontal="center"/>
    </xf>
    <xf numFmtId="0" fontId="0" fillId="0" borderId="6" xfId="0" applyBorder="1"/>
    <xf numFmtId="0" fontId="0" fillId="0" borderId="6" xfId="0" applyFill="1" applyBorder="1"/>
    <xf numFmtId="0" fontId="0" fillId="0" borderId="5" xfId="0" applyFill="1" applyBorder="1"/>
    <xf numFmtId="0" fontId="0" fillId="5" borderId="1" xfId="0" applyFill="1" applyBorder="1" applyAlignment="1">
      <alignment horizontal="center" vertical="center"/>
    </xf>
    <xf numFmtId="0" fontId="0" fillId="0" borderId="1" xfId="0" applyFill="1" applyBorder="1" applyAlignment="1">
      <alignment horizontal="left"/>
    </xf>
    <xf numFmtId="0" fontId="1" fillId="0" borderId="1" xfId="0" applyFont="1" applyFill="1" applyBorder="1" applyAlignment="1">
      <alignment horizontal="center" vertical="center" wrapText="1"/>
    </xf>
    <xf numFmtId="0" fontId="3" fillId="4" borderId="2" xfId="0" applyFont="1" applyFill="1" applyBorder="1" applyAlignment="1">
      <alignment horizontal="left"/>
    </xf>
    <xf numFmtId="0" fontId="3" fillId="4" borderId="3" xfId="0" applyFont="1" applyFill="1" applyBorder="1" applyAlignment="1">
      <alignment horizontal="left"/>
    </xf>
    <xf numFmtId="0" fontId="3" fillId="4" borderId="4"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1.emf"/><Relationship Id="rId4" Type="http://schemas.openxmlformats.org/officeDocument/2006/relationships/image" Target="../media/image6.png"/></Relationships>
</file>

<file path=xl/drawings/_rels/drawing3.xml.rels><?xml version="1.0" encoding="UTF-8" standalone="yes"?>
<Relationships xmlns="http://schemas.openxmlformats.org/package/2006/relationships"><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5.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6.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7.xml.rels><?xml version="1.0" encoding="UTF-8" standalone="yes"?>
<Relationships xmlns="http://schemas.openxmlformats.org/package/2006/relationships"><Relationship Id="rId1" Type="http://schemas.openxmlformats.org/officeDocument/2006/relationships/image" Target="../media/image14.emf"/></Relationships>
</file>

<file path=xl/drawings/_rels/drawing8.xml.rels><?xml version="1.0" encoding="UTF-8" standalone="yes"?>
<Relationships xmlns="http://schemas.openxmlformats.org/package/2006/relationships"><Relationship Id="rId1" Type="http://schemas.openxmlformats.org/officeDocument/2006/relationships/image" Target="../media/image15.emf"/></Relationships>
</file>

<file path=xl/drawings/drawing1.xml><?xml version="1.0" encoding="utf-8"?>
<xdr:wsDr xmlns:xdr="http://schemas.openxmlformats.org/drawingml/2006/spreadsheetDrawing" xmlns:a="http://schemas.openxmlformats.org/drawingml/2006/main">
  <xdr:twoCellAnchor editAs="oneCell">
    <xdr:from>
      <xdr:col>1</xdr:col>
      <xdr:colOff>438150</xdr:colOff>
      <xdr:row>13</xdr:row>
      <xdr:rowOff>96584</xdr:rowOff>
    </xdr:from>
    <xdr:to>
      <xdr:col>1</xdr:col>
      <xdr:colOff>5353050</xdr:colOff>
      <xdr:row>13</xdr:row>
      <xdr:rowOff>2047873</xdr:rowOff>
    </xdr:to>
    <xdr:pic>
      <xdr:nvPicPr>
        <xdr:cNvPr id="5" name="Picture 4">
          <a:extLst>
            <a:ext uri="{FF2B5EF4-FFF2-40B4-BE49-F238E27FC236}">
              <a16:creationId xmlns:a16="http://schemas.microsoft.com/office/drawing/2014/main" id="{73D741A0-F18E-4985-B428-D70DCA4BB9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1100" y="3725609"/>
          <a:ext cx="4914900" cy="19512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333375</xdr:colOff>
      <xdr:row>7</xdr:row>
      <xdr:rowOff>66675</xdr:rowOff>
    </xdr:from>
    <xdr:to>
      <xdr:col>1</xdr:col>
      <xdr:colOff>3181350</xdr:colOff>
      <xdr:row>7</xdr:row>
      <xdr:rowOff>400050</xdr:rowOff>
    </xdr:to>
    <xdr:pic>
      <xdr:nvPicPr>
        <xdr:cNvPr id="6" name="Picture 5">
          <a:extLst>
            <a:ext uri="{FF2B5EF4-FFF2-40B4-BE49-F238E27FC236}">
              <a16:creationId xmlns:a16="http://schemas.microsoft.com/office/drawing/2014/main" id="{E7584A67-DA36-4B80-94B9-72D34ADA478E}"/>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76325" y="1590675"/>
          <a:ext cx="2847975"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323850</xdr:colOff>
      <xdr:row>9</xdr:row>
      <xdr:rowOff>57150</xdr:rowOff>
    </xdr:from>
    <xdr:to>
      <xdr:col>1</xdr:col>
      <xdr:colOff>2447925</xdr:colOff>
      <xdr:row>9</xdr:row>
      <xdr:rowOff>381000</xdr:rowOff>
    </xdr:to>
    <xdr:pic>
      <xdr:nvPicPr>
        <xdr:cNvPr id="8" name="Picture 7">
          <a:extLst>
            <a:ext uri="{FF2B5EF4-FFF2-40B4-BE49-F238E27FC236}">
              <a16:creationId xmlns:a16="http://schemas.microsoft.com/office/drawing/2014/main" id="{C9928A3E-C99F-44F6-BDB5-71B6C74247A6}"/>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66800" y="2228850"/>
          <a:ext cx="2124075" cy="323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438150</xdr:colOff>
      <xdr:row>13</xdr:row>
      <xdr:rowOff>96584</xdr:rowOff>
    </xdr:from>
    <xdr:to>
      <xdr:col>1</xdr:col>
      <xdr:colOff>5353050</xdr:colOff>
      <xdr:row>13</xdr:row>
      <xdr:rowOff>2047873</xdr:rowOff>
    </xdr:to>
    <xdr:pic>
      <xdr:nvPicPr>
        <xdr:cNvPr id="2" name="Picture 1">
          <a:extLst>
            <a:ext uri="{FF2B5EF4-FFF2-40B4-BE49-F238E27FC236}">
              <a16:creationId xmlns:a16="http://schemas.microsoft.com/office/drawing/2014/main" id="{D977C52C-5164-47AD-9135-D93B0E7EDB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1100" y="3458909"/>
          <a:ext cx="4914900" cy="19512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295275</xdr:colOff>
      <xdr:row>9</xdr:row>
      <xdr:rowOff>57150</xdr:rowOff>
    </xdr:from>
    <xdr:to>
      <xdr:col>1</xdr:col>
      <xdr:colOff>3000375</xdr:colOff>
      <xdr:row>9</xdr:row>
      <xdr:rowOff>390525</xdr:rowOff>
    </xdr:to>
    <xdr:pic>
      <xdr:nvPicPr>
        <xdr:cNvPr id="5" name="Picture 4">
          <a:extLst>
            <a:ext uri="{FF2B5EF4-FFF2-40B4-BE49-F238E27FC236}">
              <a16:creationId xmlns:a16="http://schemas.microsoft.com/office/drawing/2014/main" id="{C9DDD58E-C00B-4285-B8BC-BD223150C3C2}"/>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38225" y="2800350"/>
          <a:ext cx="2705100"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276225</xdr:colOff>
      <xdr:row>7</xdr:row>
      <xdr:rowOff>95250</xdr:rowOff>
    </xdr:from>
    <xdr:to>
      <xdr:col>1</xdr:col>
      <xdr:colOff>3076575</xdr:colOff>
      <xdr:row>7</xdr:row>
      <xdr:rowOff>428625</xdr:rowOff>
    </xdr:to>
    <xdr:pic>
      <xdr:nvPicPr>
        <xdr:cNvPr id="6" name="Picture 5">
          <a:extLst>
            <a:ext uri="{FF2B5EF4-FFF2-40B4-BE49-F238E27FC236}">
              <a16:creationId xmlns:a16="http://schemas.microsoft.com/office/drawing/2014/main" id="{0B558920-44D3-47C1-8BA9-373B39AC5942}"/>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19175" y="2190750"/>
          <a:ext cx="2800350"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285750</xdr:colOff>
      <xdr:row>7</xdr:row>
      <xdr:rowOff>581025</xdr:rowOff>
    </xdr:from>
    <xdr:to>
      <xdr:col>1</xdr:col>
      <xdr:colOff>2990850</xdr:colOff>
      <xdr:row>7</xdr:row>
      <xdr:rowOff>904875</xdr:rowOff>
    </xdr:to>
    <xdr:pic>
      <xdr:nvPicPr>
        <xdr:cNvPr id="7" name="Picture 6">
          <a:extLst>
            <a:ext uri="{FF2B5EF4-FFF2-40B4-BE49-F238E27FC236}">
              <a16:creationId xmlns:a16="http://schemas.microsoft.com/office/drawing/2014/main" id="{A1075504-F725-4231-99AC-D5B50D809D88}"/>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28700" y="2676525"/>
          <a:ext cx="2705100" cy="323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419100</xdr:colOff>
      <xdr:row>7</xdr:row>
      <xdr:rowOff>95250</xdr:rowOff>
    </xdr:from>
    <xdr:to>
      <xdr:col>1</xdr:col>
      <xdr:colOff>2705100</xdr:colOff>
      <xdr:row>7</xdr:row>
      <xdr:rowOff>447675</xdr:rowOff>
    </xdr:to>
    <xdr:pic>
      <xdr:nvPicPr>
        <xdr:cNvPr id="2" name="Picture 1">
          <a:extLst>
            <a:ext uri="{FF2B5EF4-FFF2-40B4-BE49-F238E27FC236}">
              <a16:creationId xmlns:a16="http://schemas.microsoft.com/office/drawing/2014/main" id="{8E1A37F0-C4DE-4623-8081-D6F776BD5A2E}"/>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162050" y="1657350"/>
          <a:ext cx="22860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590550</xdr:colOff>
      <xdr:row>7</xdr:row>
      <xdr:rowOff>114300</xdr:rowOff>
    </xdr:from>
    <xdr:to>
      <xdr:col>1</xdr:col>
      <xdr:colOff>2962275</xdr:colOff>
      <xdr:row>7</xdr:row>
      <xdr:rowOff>495300</xdr:rowOff>
    </xdr:to>
    <xdr:pic>
      <xdr:nvPicPr>
        <xdr:cNvPr id="2" name="Picture 1">
          <a:extLst>
            <a:ext uri="{FF2B5EF4-FFF2-40B4-BE49-F238E27FC236}">
              <a16:creationId xmlns:a16="http://schemas.microsoft.com/office/drawing/2014/main" id="{A14A0633-8AB4-48A5-B423-B17D3AB28E96}"/>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333500" y="1638300"/>
          <a:ext cx="2371725"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514350</xdr:colOff>
      <xdr:row>9</xdr:row>
      <xdr:rowOff>57150</xdr:rowOff>
    </xdr:from>
    <xdr:to>
      <xdr:col>1</xdr:col>
      <xdr:colOff>2657475</xdr:colOff>
      <xdr:row>9</xdr:row>
      <xdr:rowOff>409575</xdr:rowOff>
    </xdr:to>
    <xdr:pic>
      <xdr:nvPicPr>
        <xdr:cNvPr id="3" name="Picture 2">
          <a:extLst>
            <a:ext uri="{FF2B5EF4-FFF2-40B4-BE49-F238E27FC236}">
              <a16:creationId xmlns:a16="http://schemas.microsoft.com/office/drawing/2014/main" id="{BDF3E9C0-738B-41EC-9347-E75AB6DD3B4F}"/>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257300" y="2428875"/>
          <a:ext cx="2143125"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209550</xdr:colOff>
      <xdr:row>8</xdr:row>
      <xdr:rowOff>28575</xdr:rowOff>
    </xdr:from>
    <xdr:to>
      <xdr:col>1</xdr:col>
      <xdr:colOff>5915025</xdr:colOff>
      <xdr:row>8</xdr:row>
      <xdr:rowOff>514350</xdr:rowOff>
    </xdr:to>
    <xdr:pic>
      <xdr:nvPicPr>
        <xdr:cNvPr id="2" name="Picture 1">
          <a:extLst>
            <a:ext uri="{FF2B5EF4-FFF2-40B4-BE49-F238E27FC236}">
              <a16:creationId xmlns:a16="http://schemas.microsoft.com/office/drawing/2014/main" id="{9D368007-118A-46D6-A395-00E226A36D4F}"/>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2500" y="1933575"/>
          <a:ext cx="5705475" cy="485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142875</xdr:colOff>
      <xdr:row>10</xdr:row>
      <xdr:rowOff>66675</xdr:rowOff>
    </xdr:from>
    <xdr:to>
      <xdr:col>1</xdr:col>
      <xdr:colOff>2076450</xdr:colOff>
      <xdr:row>10</xdr:row>
      <xdr:rowOff>523875</xdr:rowOff>
    </xdr:to>
    <xdr:pic>
      <xdr:nvPicPr>
        <xdr:cNvPr id="4" name="Picture 3">
          <a:extLst>
            <a:ext uri="{FF2B5EF4-FFF2-40B4-BE49-F238E27FC236}">
              <a16:creationId xmlns:a16="http://schemas.microsoft.com/office/drawing/2014/main" id="{A7EF47A8-C942-475D-8B74-9994261C03CF}"/>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5825" y="2752725"/>
          <a:ext cx="1933575"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19050</xdr:colOff>
      <xdr:row>7</xdr:row>
      <xdr:rowOff>95250</xdr:rowOff>
    </xdr:from>
    <xdr:to>
      <xdr:col>1</xdr:col>
      <xdr:colOff>3971925</xdr:colOff>
      <xdr:row>7</xdr:row>
      <xdr:rowOff>428625</xdr:rowOff>
    </xdr:to>
    <xdr:pic>
      <xdr:nvPicPr>
        <xdr:cNvPr id="2" name="Picture 1">
          <a:extLst>
            <a:ext uri="{FF2B5EF4-FFF2-40B4-BE49-F238E27FC236}">
              <a16:creationId xmlns:a16="http://schemas.microsoft.com/office/drawing/2014/main" id="{0215F197-5953-43A5-8A64-BFB8E3C9067B}"/>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62000" y="2066925"/>
          <a:ext cx="3952875"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38100</xdr:colOff>
      <xdr:row>9</xdr:row>
      <xdr:rowOff>66675</xdr:rowOff>
    </xdr:from>
    <xdr:to>
      <xdr:col>1</xdr:col>
      <xdr:colOff>1847850</xdr:colOff>
      <xdr:row>9</xdr:row>
      <xdr:rowOff>428625</xdr:rowOff>
    </xdr:to>
    <xdr:pic>
      <xdr:nvPicPr>
        <xdr:cNvPr id="3" name="Picture 2">
          <a:extLst>
            <a:ext uri="{FF2B5EF4-FFF2-40B4-BE49-F238E27FC236}">
              <a16:creationId xmlns:a16="http://schemas.microsoft.com/office/drawing/2014/main" id="{CB9A6D46-7D9E-42D9-9E0F-09C2509FC062}"/>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1050" y="2733675"/>
          <a:ext cx="1809750" cy="36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333375</xdr:colOff>
      <xdr:row>9</xdr:row>
      <xdr:rowOff>47625</xdr:rowOff>
    </xdr:from>
    <xdr:to>
      <xdr:col>1</xdr:col>
      <xdr:colOff>5400675</xdr:colOff>
      <xdr:row>9</xdr:row>
      <xdr:rowOff>4076700</xdr:rowOff>
    </xdr:to>
    <xdr:pic>
      <xdr:nvPicPr>
        <xdr:cNvPr id="3" name="Picture 2">
          <a:extLst>
            <a:ext uri="{FF2B5EF4-FFF2-40B4-BE49-F238E27FC236}">
              <a16:creationId xmlns:a16="http://schemas.microsoft.com/office/drawing/2014/main" id="{BA79EB45-86AF-4D51-AE47-16F607CEE5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0600" y="1704975"/>
          <a:ext cx="5067300" cy="402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257175</xdr:colOff>
      <xdr:row>9</xdr:row>
      <xdr:rowOff>47625</xdr:rowOff>
    </xdr:from>
    <xdr:to>
      <xdr:col>1</xdr:col>
      <xdr:colOff>5324475</xdr:colOff>
      <xdr:row>9</xdr:row>
      <xdr:rowOff>4076700</xdr:rowOff>
    </xdr:to>
    <xdr:pic>
      <xdr:nvPicPr>
        <xdr:cNvPr id="3" name="Picture 2">
          <a:extLst>
            <a:ext uri="{FF2B5EF4-FFF2-40B4-BE49-F238E27FC236}">
              <a16:creationId xmlns:a16="http://schemas.microsoft.com/office/drawing/2014/main" id="{B773883F-0FE7-4A8B-A7BE-FB360B5F98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4400" y="1838325"/>
          <a:ext cx="5067300" cy="402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167"/>
  <sheetViews>
    <sheetView tabSelected="1" workbookViewId="0">
      <selection activeCell="B1" sqref="B1"/>
    </sheetView>
  </sheetViews>
  <sheetFormatPr defaultRowHeight="15" x14ac:dyDescent="0.25"/>
  <cols>
    <col min="1" max="1" width="5.28515625" customWidth="1"/>
    <col min="2" max="2" width="11.42578125" customWidth="1"/>
    <col min="3" max="3" width="16" customWidth="1"/>
    <col min="4" max="4" width="71.28515625" customWidth="1"/>
    <col min="5" max="5" width="12.85546875" customWidth="1"/>
    <col min="7" max="7" width="22.42578125" customWidth="1"/>
  </cols>
  <sheetData>
    <row r="2" spans="2:8" x14ac:dyDescent="0.25">
      <c r="B2" s="19" t="s">
        <v>29</v>
      </c>
      <c r="C2" s="19" t="s">
        <v>30</v>
      </c>
      <c r="D2" s="19" t="s">
        <v>3</v>
      </c>
      <c r="E2" s="20" t="s">
        <v>31</v>
      </c>
      <c r="G2" s="5" t="s">
        <v>272</v>
      </c>
      <c r="H2" s="30">
        <v>50</v>
      </c>
    </row>
    <row r="3" spans="2:8" x14ac:dyDescent="0.25">
      <c r="B3" s="15">
        <v>0</v>
      </c>
      <c r="C3" s="4" t="str">
        <f>"0x"&amp;DEC2HEX((B3)*4,4)</f>
        <v>0x0000</v>
      </c>
      <c r="D3" s="4" t="s">
        <v>32</v>
      </c>
      <c r="E3" s="4" t="s">
        <v>35</v>
      </c>
    </row>
    <row r="4" spans="2:8" x14ac:dyDescent="0.25">
      <c r="B4" s="15">
        <f>B3+1</f>
        <v>1</v>
      </c>
      <c r="C4" s="4" t="str">
        <f t="shared" ref="C4:C68" si="0">"0x"&amp;DEC2HEX((B4)*4,4)</f>
        <v>0x0004</v>
      </c>
      <c r="D4" s="4" t="s">
        <v>33</v>
      </c>
      <c r="E4" s="4" t="s">
        <v>35</v>
      </c>
    </row>
    <row r="5" spans="2:8" x14ac:dyDescent="0.25">
      <c r="B5" s="15">
        <f t="shared" ref="B5:B62" si="1">B4+1</f>
        <v>2</v>
      </c>
      <c r="C5" s="4" t="str">
        <f t="shared" si="0"/>
        <v>0x0008</v>
      </c>
      <c r="D5" s="4" t="s">
        <v>34</v>
      </c>
      <c r="E5" s="4" t="s">
        <v>36</v>
      </c>
    </row>
    <row r="6" spans="2:8" x14ac:dyDescent="0.25">
      <c r="B6" s="15">
        <f t="shared" si="1"/>
        <v>3</v>
      </c>
      <c r="C6" s="4" t="str">
        <f t="shared" si="0"/>
        <v>0x000C</v>
      </c>
      <c r="D6" s="4" t="s">
        <v>93</v>
      </c>
      <c r="E6" s="5" t="s">
        <v>37</v>
      </c>
    </row>
    <row r="7" spans="2:8" x14ac:dyDescent="0.25">
      <c r="B7" s="15">
        <f t="shared" si="1"/>
        <v>4</v>
      </c>
      <c r="C7" s="4" t="str">
        <f t="shared" si="0"/>
        <v>0x0010</v>
      </c>
      <c r="D7" s="4" t="s">
        <v>117</v>
      </c>
      <c r="E7" s="5" t="s">
        <v>37</v>
      </c>
    </row>
    <row r="8" spans="2:8" x14ac:dyDescent="0.25">
      <c r="B8" s="15">
        <f t="shared" si="1"/>
        <v>5</v>
      </c>
      <c r="C8" s="4" t="str">
        <f t="shared" si="0"/>
        <v>0x0014</v>
      </c>
      <c r="D8" s="4" t="s">
        <v>94</v>
      </c>
      <c r="E8" s="5" t="s">
        <v>37</v>
      </c>
    </row>
    <row r="9" spans="2:8" x14ac:dyDescent="0.25">
      <c r="B9" s="15">
        <f t="shared" si="1"/>
        <v>6</v>
      </c>
      <c r="C9" s="4" t="str">
        <f t="shared" si="0"/>
        <v>0x0018</v>
      </c>
      <c r="D9" s="4" t="s">
        <v>121</v>
      </c>
      <c r="E9" s="5" t="s">
        <v>37</v>
      </c>
    </row>
    <row r="10" spans="2:8" x14ac:dyDescent="0.25">
      <c r="B10" s="15">
        <f t="shared" si="1"/>
        <v>7</v>
      </c>
      <c r="C10" s="4" t="str">
        <f t="shared" si="0"/>
        <v>0x001C</v>
      </c>
      <c r="D10" s="4" t="s">
        <v>288</v>
      </c>
      <c r="E10" s="5" t="s">
        <v>37</v>
      </c>
    </row>
    <row r="11" spans="2:8" x14ac:dyDescent="0.25">
      <c r="B11" s="15">
        <f t="shared" si="1"/>
        <v>8</v>
      </c>
      <c r="C11" s="4" t="str">
        <f t="shared" si="0"/>
        <v>0x0020</v>
      </c>
      <c r="D11" s="4" t="s">
        <v>289</v>
      </c>
      <c r="E11" s="5" t="s">
        <v>37</v>
      </c>
    </row>
    <row r="12" spans="2:8" x14ac:dyDescent="0.25">
      <c r="B12" s="15">
        <f t="shared" si="1"/>
        <v>9</v>
      </c>
      <c r="C12" s="4" t="str">
        <f t="shared" si="0"/>
        <v>0x0024</v>
      </c>
      <c r="D12" s="4" t="s">
        <v>95</v>
      </c>
      <c r="E12" s="5" t="s">
        <v>37</v>
      </c>
    </row>
    <row r="13" spans="2:8" x14ac:dyDescent="0.25">
      <c r="B13" s="15">
        <f t="shared" si="1"/>
        <v>10</v>
      </c>
      <c r="C13" s="4" t="str">
        <f t="shared" si="0"/>
        <v>0x0028</v>
      </c>
      <c r="D13" s="4" t="s">
        <v>118</v>
      </c>
      <c r="E13" s="5" t="s">
        <v>37</v>
      </c>
    </row>
    <row r="14" spans="2:8" x14ac:dyDescent="0.25">
      <c r="B14" s="15">
        <f t="shared" si="1"/>
        <v>11</v>
      </c>
      <c r="C14" s="4" t="str">
        <f t="shared" si="0"/>
        <v>0x002C</v>
      </c>
      <c r="D14" s="4" t="s">
        <v>96</v>
      </c>
      <c r="E14" s="5" t="s">
        <v>37</v>
      </c>
    </row>
    <row r="15" spans="2:8" x14ac:dyDescent="0.25">
      <c r="B15" s="15">
        <f t="shared" si="1"/>
        <v>12</v>
      </c>
      <c r="C15" s="4" t="str">
        <f t="shared" si="0"/>
        <v>0x0030</v>
      </c>
      <c r="D15" s="4" t="s">
        <v>122</v>
      </c>
      <c r="E15" s="5" t="s">
        <v>37</v>
      </c>
    </row>
    <row r="16" spans="2:8" x14ac:dyDescent="0.25">
      <c r="B16" s="15">
        <f t="shared" si="1"/>
        <v>13</v>
      </c>
      <c r="C16" s="4" t="str">
        <f t="shared" si="0"/>
        <v>0x0034</v>
      </c>
      <c r="D16" s="4" t="s">
        <v>97</v>
      </c>
      <c r="E16" s="5" t="s">
        <v>37</v>
      </c>
    </row>
    <row r="17" spans="2:5" x14ac:dyDescent="0.25">
      <c r="B17" s="15">
        <f t="shared" si="1"/>
        <v>14</v>
      </c>
      <c r="C17" s="4" t="str">
        <f t="shared" si="0"/>
        <v>0x0038</v>
      </c>
      <c r="D17" s="4" t="s">
        <v>28</v>
      </c>
      <c r="E17" s="5" t="s">
        <v>37</v>
      </c>
    </row>
    <row r="18" spans="2:5" x14ac:dyDescent="0.25">
      <c r="B18" s="15">
        <f t="shared" si="1"/>
        <v>15</v>
      </c>
      <c r="C18" s="4" t="str">
        <f t="shared" si="0"/>
        <v>0x003C</v>
      </c>
      <c r="D18" s="4" t="s">
        <v>98</v>
      </c>
      <c r="E18" s="5" t="s">
        <v>37</v>
      </c>
    </row>
    <row r="19" spans="2:5" x14ac:dyDescent="0.25">
      <c r="B19" s="15">
        <f t="shared" si="1"/>
        <v>16</v>
      </c>
      <c r="C19" s="4" t="str">
        <f t="shared" si="0"/>
        <v>0x0040</v>
      </c>
      <c r="D19" s="4" t="s">
        <v>119</v>
      </c>
      <c r="E19" s="5" t="s">
        <v>37</v>
      </c>
    </row>
    <row r="20" spans="2:5" x14ac:dyDescent="0.25">
      <c r="B20" s="15">
        <f t="shared" si="1"/>
        <v>17</v>
      </c>
      <c r="C20" s="4" t="str">
        <f t="shared" si="0"/>
        <v>0x0044</v>
      </c>
      <c r="D20" s="4" t="s">
        <v>99</v>
      </c>
      <c r="E20" s="5" t="s">
        <v>37</v>
      </c>
    </row>
    <row r="21" spans="2:5" x14ac:dyDescent="0.25">
      <c r="B21" s="15">
        <f t="shared" si="1"/>
        <v>18</v>
      </c>
      <c r="C21" s="4" t="str">
        <f t="shared" si="0"/>
        <v>0x0048</v>
      </c>
      <c r="D21" s="4" t="s">
        <v>120</v>
      </c>
      <c r="E21" s="5" t="s">
        <v>37</v>
      </c>
    </row>
    <row r="22" spans="2:5" x14ac:dyDescent="0.25">
      <c r="B22" s="15">
        <f t="shared" si="1"/>
        <v>19</v>
      </c>
      <c r="C22" s="4" t="str">
        <f t="shared" si="0"/>
        <v>0x004C</v>
      </c>
      <c r="D22" s="4" t="s">
        <v>100</v>
      </c>
      <c r="E22" s="5" t="s">
        <v>37</v>
      </c>
    </row>
    <row r="23" spans="2:5" x14ac:dyDescent="0.25">
      <c r="B23" s="15">
        <f t="shared" si="1"/>
        <v>20</v>
      </c>
      <c r="C23" s="4" t="str">
        <f t="shared" si="0"/>
        <v>0x0050</v>
      </c>
      <c r="D23" s="4" t="s">
        <v>28</v>
      </c>
      <c r="E23" s="5" t="s">
        <v>37</v>
      </c>
    </row>
    <row r="24" spans="2:5" x14ac:dyDescent="0.25">
      <c r="B24" s="15">
        <f t="shared" si="1"/>
        <v>21</v>
      </c>
      <c r="C24" s="4" t="str">
        <f t="shared" si="0"/>
        <v>0x0054</v>
      </c>
      <c r="D24" s="4" t="s">
        <v>101</v>
      </c>
      <c r="E24" s="5" t="s">
        <v>37</v>
      </c>
    </row>
    <row r="25" spans="2:5" x14ac:dyDescent="0.25">
      <c r="B25" s="15">
        <f t="shared" si="1"/>
        <v>22</v>
      </c>
      <c r="C25" s="4" t="str">
        <f t="shared" si="0"/>
        <v>0x0058</v>
      </c>
      <c r="D25" s="4" t="s">
        <v>102</v>
      </c>
      <c r="E25" s="5" t="s">
        <v>37</v>
      </c>
    </row>
    <row r="26" spans="2:5" x14ac:dyDescent="0.25">
      <c r="B26" s="15">
        <f t="shared" si="1"/>
        <v>23</v>
      </c>
      <c r="C26" s="4" t="str">
        <f t="shared" si="0"/>
        <v>0x005C</v>
      </c>
      <c r="D26" s="4" t="s">
        <v>103</v>
      </c>
      <c r="E26" s="5" t="s">
        <v>37</v>
      </c>
    </row>
    <row r="27" spans="2:5" x14ac:dyDescent="0.25">
      <c r="B27" s="15">
        <f t="shared" si="1"/>
        <v>24</v>
      </c>
      <c r="C27" s="4" t="str">
        <f t="shared" si="0"/>
        <v>0x0060</v>
      </c>
      <c r="D27" s="4" t="s">
        <v>123</v>
      </c>
      <c r="E27" s="5" t="s">
        <v>37</v>
      </c>
    </row>
    <row r="28" spans="2:5" x14ac:dyDescent="0.25">
      <c r="B28" s="15">
        <f t="shared" si="1"/>
        <v>25</v>
      </c>
      <c r="C28" s="4" t="str">
        <f t="shared" si="0"/>
        <v>0x0064</v>
      </c>
      <c r="D28" s="4" t="s">
        <v>104</v>
      </c>
      <c r="E28" s="5" t="s">
        <v>37</v>
      </c>
    </row>
    <row r="29" spans="2:5" x14ac:dyDescent="0.25">
      <c r="B29" s="15">
        <f t="shared" si="1"/>
        <v>26</v>
      </c>
      <c r="C29" s="4" t="str">
        <f t="shared" si="0"/>
        <v>0x0068</v>
      </c>
      <c r="D29" s="4" t="s">
        <v>28</v>
      </c>
      <c r="E29" s="5" t="s">
        <v>37</v>
      </c>
    </row>
    <row r="30" spans="2:5" x14ac:dyDescent="0.25">
      <c r="B30" s="15">
        <f t="shared" si="1"/>
        <v>27</v>
      </c>
      <c r="C30" s="4" t="str">
        <f t="shared" si="0"/>
        <v>0x006C</v>
      </c>
      <c r="D30" s="5" t="s">
        <v>41</v>
      </c>
      <c r="E30" s="5"/>
    </row>
    <row r="31" spans="2:5" x14ac:dyDescent="0.25">
      <c r="B31" s="15">
        <f t="shared" si="1"/>
        <v>28</v>
      </c>
      <c r="C31" s="4" t="str">
        <f t="shared" si="0"/>
        <v>0x0070</v>
      </c>
      <c r="D31" s="5" t="s">
        <v>41</v>
      </c>
      <c r="E31" s="5"/>
    </row>
    <row r="32" spans="2:5" x14ac:dyDescent="0.25">
      <c r="B32" s="15">
        <f t="shared" si="1"/>
        <v>29</v>
      </c>
      <c r="C32" s="4" t="str">
        <f t="shared" si="0"/>
        <v>0x0074</v>
      </c>
      <c r="D32" s="5" t="s">
        <v>41</v>
      </c>
      <c r="E32" s="5"/>
    </row>
    <row r="33" spans="2:5" x14ac:dyDescent="0.25">
      <c r="B33" s="15">
        <f t="shared" si="1"/>
        <v>30</v>
      </c>
      <c r="C33" s="4" t="str">
        <f t="shared" si="0"/>
        <v>0x0078</v>
      </c>
      <c r="D33" s="5" t="s">
        <v>41</v>
      </c>
      <c r="E33" s="5"/>
    </row>
    <row r="34" spans="2:5" x14ac:dyDescent="0.25">
      <c r="B34" s="15">
        <f t="shared" si="1"/>
        <v>31</v>
      </c>
      <c r="C34" s="4" t="str">
        <f t="shared" si="0"/>
        <v>0x007C</v>
      </c>
      <c r="D34" s="5" t="s">
        <v>41</v>
      </c>
      <c r="E34" s="5"/>
    </row>
    <row r="35" spans="2:5" x14ac:dyDescent="0.25">
      <c r="B35" s="15">
        <f t="shared" si="1"/>
        <v>32</v>
      </c>
      <c r="C35" s="4" t="str">
        <f t="shared" si="0"/>
        <v>0x0080</v>
      </c>
      <c r="D35" s="5" t="s">
        <v>41</v>
      </c>
      <c r="E35" s="5"/>
    </row>
    <row r="36" spans="2:5" x14ac:dyDescent="0.25">
      <c r="B36" s="15">
        <f t="shared" si="1"/>
        <v>33</v>
      </c>
      <c r="C36" s="4" t="str">
        <f t="shared" si="0"/>
        <v>0x0084</v>
      </c>
      <c r="D36" s="5" t="s">
        <v>41</v>
      </c>
      <c r="E36" s="5"/>
    </row>
    <row r="37" spans="2:5" x14ac:dyDescent="0.25">
      <c r="B37" s="15">
        <f t="shared" si="1"/>
        <v>34</v>
      </c>
      <c r="C37" s="4" t="str">
        <f t="shared" si="0"/>
        <v>0x0088</v>
      </c>
      <c r="D37" s="5" t="s">
        <v>41</v>
      </c>
      <c r="E37" s="5"/>
    </row>
    <row r="38" spans="2:5" x14ac:dyDescent="0.25">
      <c r="B38" s="15">
        <f t="shared" si="1"/>
        <v>35</v>
      </c>
      <c r="C38" s="4" t="str">
        <f t="shared" si="0"/>
        <v>0x008C</v>
      </c>
      <c r="D38" s="5" t="s">
        <v>41</v>
      </c>
      <c r="E38" s="5"/>
    </row>
    <row r="39" spans="2:5" x14ac:dyDescent="0.25">
      <c r="B39" s="15">
        <f t="shared" si="1"/>
        <v>36</v>
      </c>
      <c r="C39" s="4" t="str">
        <f t="shared" si="0"/>
        <v>0x0090</v>
      </c>
      <c r="D39" s="5" t="s">
        <v>41</v>
      </c>
      <c r="E39" s="5"/>
    </row>
    <row r="40" spans="2:5" x14ac:dyDescent="0.25">
      <c r="B40" s="15">
        <f t="shared" si="1"/>
        <v>37</v>
      </c>
      <c r="C40" s="4" t="str">
        <f t="shared" si="0"/>
        <v>0x0094</v>
      </c>
      <c r="D40" s="5" t="s">
        <v>41</v>
      </c>
      <c r="E40" s="4"/>
    </row>
    <row r="41" spans="2:5" x14ac:dyDescent="0.25">
      <c r="B41" s="15">
        <f t="shared" si="1"/>
        <v>38</v>
      </c>
      <c r="C41" s="4" t="str">
        <f t="shared" si="0"/>
        <v>0x0098</v>
      </c>
      <c r="D41" s="5" t="s">
        <v>41</v>
      </c>
      <c r="E41" s="4"/>
    </row>
    <row r="42" spans="2:5" x14ac:dyDescent="0.25">
      <c r="B42" s="15">
        <f t="shared" si="1"/>
        <v>39</v>
      </c>
      <c r="C42" s="4" t="str">
        <f t="shared" si="0"/>
        <v>0x009C</v>
      </c>
      <c r="D42" s="5" t="s">
        <v>41</v>
      </c>
      <c r="E42" s="5"/>
    </row>
    <row r="43" spans="2:5" x14ac:dyDescent="0.25">
      <c r="B43" s="15">
        <f t="shared" si="1"/>
        <v>40</v>
      </c>
      <c r="C43" s="4" t="str">
        <f t="shared" si="0"/>
        <v>0x00A0</v>
      </c>
      <c r="D43" s="5" t="s">
        <v>41</v>
      </c>
      <c r="E43" s="5"/>
    </row>
    <row r="44" spans="2:5" x14ac:dyDescent="0.25">
      <c r="B44" s="15">
        <f t="shared" si="1"/>
        <v>41</v>
      </c>
      <c r="C44" s="4" t="str">
        <f t="shared" si="0"/>
        <v>0x00A4</v>
      </c>
      <c r="D44" s="5" t="s">
        <v>41</v>
      </c>
      <c r="E44" s="5"/>
    </row>
    <row r="45" spans="2:5" x14ac:dyDescent="0.25">
      <c r="B45" s="15">
        <f t="shared" si="1"/>
        <v>42</v>
      </c>
      <c r="C45" s="4" t="str">
        <f t="shared" si="0"/>
        <v>0x00A8</v>
      </c>
      <c r="D45" s="5" t="s">
        <v>41</v>
      </c>
      <c r="E45" s="5"/>
    </row>
    <row r="46" spans="2:5" x14ac:dyDescent="0.25">
      <c r="B46" s="15">
        <f t="shared" si="1"/>
        <v>43</v>
      </c>
      <c r="C46" s="4" t="str">
        <f t="shared" si="0"/>
        <v>0x00AC</v>
      </c>
      <c r="D46" s="5" t="s">
        <v>41</v>
      </c>
      <c r="E46" s="4"/>
    </row>
    <row r="47" spans="2:5" x14ac:dyDescent="0.25">
      <c r="B47" s="15">
        <f t="shared" si="1"/>
        <v>44</v>
      </c>
      <c r="C47" s="4" t="str">
        <f t="shared" si="0"/>
        <v>0x00B0</v>
      </c>
      <c r="D47" s="5" t="s">
        <v>41</v>
      </c>
      <c r="E47" s="4"/>
    </row>
    <row r="48" spans="2:5" x14ac:dyDescent="0.25">
      <c r="B48" s="15">
        <f t="shared" si="1"/>
        <v>45</v>
      </c>
      <c r="C48" s="4" t="str">
        <f t="shared" si="0"/>
        <v>0x00B4</v>
      </c>
      <c r="D48" s="5" t="s">
        <v>41</v>
      </c>
      <c r="E48" s="4"/>
    </row>
    <row r="49" spans="2:5" x14ac:dyDescent="0.25">
      <c r="B49" s="15">
        <f t="shared" si="1"/>
        <v>46</v>
      </c>
      <c r="C49" s="4" t="str">
        <f t="shared" si="0"/>
        <v>0x00B8</v>
      </c>
      <c r="D49" s="5" t="s">
        <v>41</v>
      </c>
      <c r="E49" s="4"/>
    </row>
    <row r="50" spans="2:5" x14ac:dyDescent="0.25">
      <c r="B50" s="15">
        <f t="shared" si="1"/>
        <v>47</v>
      </c>
      <c r="C50" s="4" t="str">
        <f t="shared" si="0"/>
        <v>0x00BC</v>
      </c>
      <c r="D50" s="5" t="s">
        <v>41</v>
      </c>
      <c r="E50" s="4"/>
    </row>
    <row r="51" spans="2:5" x14ac:dyDescent="0.25">
      <c r="B51" s="15">
        <f t="shared" si="1"/>
        <v>48</v>
      </c>
      <c r="C51" s="4" t="str">
        <f t="shared" si="0"/>
        <v>0x00C0</v>
      </c>
      <c r="D51" s="5" t="s">
        <v>41</v>
      </c>
      <c r="E51" s="4"/>
    </row>
    <row r="52" spans="2:5" x14ac:dyDescent="0.25">
      <c r="B52" s="15">
        <f t="shared" si="1"/>
        <v>49</v>
      </c>
      <c r="C52" s="4" t="str">
        <f t="shared" si="0"/>
        <v>0x00C4</v>
      </c>
      <c r="D52" s="5" t="s">
        <v>41</v>
      </c>
      <c r="E52" s="4"/>
    </row>
    <row r="53" spans="2:5" x14ac:dyDescent="0.25">
      <c r="B53" s="15">
        <f t="shared" si="1"/>
        <v>50</v>
      </c>
      <c r="C53" s="4" t="str">
        <f t="shared" si="0"/>
        <v>0x00C8</v>
      </c>
      <c r="D53" s="5" t="s">
        <v>41</v>
      </c>
      <c r="E53" s="4"/>
    </row>
    <row r="54" spans="2:5" x14ac:dyDescent="0.25">
      <c r="B54" s="15">
        <f t="shared" si="1"/>
        <v>51</v>
      </c>
      <c r="C54" s="4" t="str">
        <f t="shared" si="0"/>
        <v>0x00CC</v>
      </c>
      <c r="D54" s="5" t="s">
        <v>41</v>
      </c>
      <c r="E54" s="4"/>
    </row>
    <row r="55" spans="2:5" x14ac:dyDescent="0.25">
      <c r="B55" s="15">
        <f t="shared" si="1"/>
        <v>52</v>
      </c>
      <c r="C55" s="4" t="str">
        <f t="shared" si="0"/>
        <v>0x00D0</v>
      </c>
      <c r="D55" s="5" t="s">
        <v>321</v>
      </c>
      <c r="E55" s="4" t="s">
        <v>37</v>
      </c>
    </row>
    <row r="56" spans="2:5" x14ac:dyDescent="0.25">
      <c r="B56" s="15">
        <f t="shared" si="1"/>
        <v>53</v>
      </c>
      <c r="C56" s="4" t="str">
        <f t="shared" si="0"/>
        <v>0x00D4</v>
      </c>
      <c r="D56" s="5" t="s">
        <v>271</v>
      </c>
      <c r="E56" s="4" t="s">
        <v>35</v>
      </c>
    </row>
    <row r="57" spans="2:5" x14ac:dyDescent="0.25">
      <c r="B57" s="15">
        <f t="shared" si="1"/>
        <v>54</v>
      </c>
      <c r="C57" s="4" t="str">
        <f t="shared" si="0"/>
        <v>0x00D8</v>
      </c>
      <c r="D57" s="5" t="s">
        <v>286</v>
      </c>
      <c r="E57" s="4" t="s">
        <v>35</v>
      </c>
    </row>
    <row r="58" spans="2:5" x14ac:dyDescent="0.25">
      <c r="B58" s="15">
        <f t="shared" si="1"/>
        <v>55</v>
      </c>
      <c r="C58" s="4" t="str">
        <f t="shared" si="0"/>
        <v>0x00DC</v>
      </c>
      <c r="D58" s="5" t="s">
        <v>269</v>
      </c>
      <c r="E58" s="4" t="s">
        <v>37</v>
      </c>
    </row>
    <row r="59" spans="2:5" x14ac:dyDescent="0.25">
      <c r="B59" s="15">
        <f t="shared" si="1"/>
        <v>56</v>
      </c>
      <c r="C59" s="4" t="str">
        <f t="shared" si="0"/>
        <v>0x00E0</v>
      </c>
      <c r="D59" s="16" t="s">
        <v>38</v>
      </c>
      <c r="E59" s="5" t="s">
        <v>37</v>
      </c>
    </row>
    <row r="60" spans="2:5" x14ac:dyDescent="0.25">
      <c r="B60" s="15">
        <f t="shared" si="1"/>
        <v>57</v>
      </c>
      <c r="C60" s="4" t="str">
        <f t="shared" si="0"/>
        <v>0x00E4</v>
      </c>
      <c r="D60" s="16" t="s">
        <v>39</v>
      </c>
      <c r="E60" s="5" t="s">
        <v>37</v>
      </c>
    </row>
    <row r="61" spans="2:5" x14ac:dyDescent="0.25">
      <c r="B61" s="15">
        <f t="shared" si="1"/>
        <v>58</v>
      </c>
      <c r="C61" s="4" t="str">
        <f t="shared" si="0"/>
        <v>0x00E8</v>
      </c>
      <c r="D61" s="5" t="s">
        <v>40</v>
      </c>
      <c r="E61" s="5" t="s">
        <v>37</v>
      </c>
    </row>
    <row r="62" spans="2:5" x14ac:dyDescent="0.25">
      <c r="B62" s="15">
        <f t="shared" si="1"/>
        <v>59</v>
      </c>
      <c r="C62" s="4" t="str">
        <f t="shared" si="0"/>
        <v>0x00EC</v>
      </c>
      <c r="D62" s="5" t="s">
        <v>21</v>
      </c>
      <c r="E62" s="5" t="s">
        <v>37</v>
      </c>
    </row>
    <row r="63" spans="2:5" x14ac:dyDescent="0.25">
      <c r="B63" s="53" t="s">
        <v>19</v>
      </c>
      <c r="C63" s="54"/>
      <c r="D63" s="54"/>
      <c r="E63" s="55"/>
    </row>
    <row r="64" spans="2:5" x14ac:dyDescent="0.25">
      <c r="B64" s="29">
        <f>B62+1</f>
        <v>60</v>
      </c>
      <c r="C64" s="4" t="str">
        <f t="shared" si="0"/>
        <v>0x00F0</v>
      </c>
      <c r="D64" s="4" t="s">
        <v>108</v>
      </c>
      <c r="E64" s="5" t="s">
        <v>37</v>
      </c>
    </row>
    <row r="65" spans="1:6" x14ac:dyDescent="0.25">
      <c r="B65" s="29">
        <f>B64+1</f>
        <v>61</v>
      </c>
      <c r="C65" s="4" t="str">
        <f t="shared" si="0"/>
        <v>0x00F4</v>
      </c>
      <c r="D65" s="4" t="s">
        <v>16</v>
      </c>
      <c r="E65" s="5" t="s">
        <v>37</v>
      </c>
    </row>
    <row r="66" spans="1:6" x14ac:dyDescent="0.25">
      <c r="B66" s="29">
        <f t="shared" ref="B66:B108" si="2">B65+1</f>
        <v>62</v>
      </c>
      <c r="C66" s="4" t="str">
        <f t="shared" si="0"/>
        <v>0x00F8</v>
      </c>
      <c r="D66" s="4" t="s">
        <v>18</v>
      </c>
      <c r="E66" s="5" t="s">
        <v>37</v>
      </c>
    </row>
    <row r="67" spans="1:6" x14ac:dyDescent="0.25">
      <c r="B67" s="29">
        <f t="shared" si="2"/>
        <v>63</v>
      </c>
      <c r="C67" s="4" t="str">
        <f t="shared" si="0"/>
        <v>0x00FC</v>
      </c>
      <c r="D67" s="4" t="s">
        <v>17</v>
      </c>
      <c r="E67" s="5" t="s">
        <v>37</v>
      </c>
    </row>
    <row r="68" spans="1:6" x14ac:dyDescent="0.25">
      <c r="A68" s="34">
        <v>64</v>
      </c>
      <c r="B68" s="29">
        <f t="shared" si="2"/>
        <v>64</v>
      </c>
      <c r="C68" s="4" t="str">
        <f t="shared" si="0"/>
        <v>0x0100</v>
      </c>
      <c r="D68" s="4" t="s">
        <v>167</v>
      </c>
      <c r="E68" s="5" t="s">
        <v>37</v>
      </c>
    </row>
    <row r="69" spans="1:6" x14ac:dyDescent="0.25">
      <c r="A69" s="34"/>
      <c r="B69" s="29">
        <f t="shared" si="2"/>
        <v>65</v>
      </c>
      <c r="C69" s="4" t="str">
        <f t="shared" ref="C69:C132" si="3">"0x"&amp;DEC2HEX((B69)*4,4)</f>
        <v>0x0104</v>
      </c>
      <c r="D69" s="4" t="s">
        <v>168</v>
      </c>
      <c r="E69" s="5" t="s">
        <v>37</v>
      </c>
    </row>
    <row r="70" spans="1:6" x14ac:dyDescent="0.25">
      <c r="A70" s="34"/>
      <c r="B70" s="29">
        <f t="shared" si="2"/>
        <v>66</v>
      </c>
      <c r="C70" s="4" t="str">
        <f t="shared" si="3"/>
        <v>0x0108</v>
      </c>
      <c r="D70" s="4" t="s">
        <v>169</v>
      </c>
      <c r="E70" s="5" t="s">
        <v>37</v>
      </c>
    </row>
    <row r="71" spans="1:6" x14ac:dyDescent="0.25">
      <c r="A71" s="34"/>
      <c r="B71" s="29">
        <f t="shared" si="2"/>
        <v>67</v>
      </c>
      <c r="C71" s="4" t="str">
        <f t="shared" si="3"/>
        <v>0x010C</v>
      </c>
      <c r="D71" s="4" t="s">
        <v>170</v>
      </c>
      <c r="E71" s="5" t="s">
        <v>37</v>
      </c>
    </row>
    <row r="72" spans="1:6" x14ac:dyDescent="0.25">
      <c r="A72" s="34"/>
      <c r="B72" s="29">
        <f t="shared" si="2"/>
        <v>68</v>
      </c>
      <c r="C72" s="4" t="str">
        <f t="shared" si="3"/>
        <v>0x0110</v>
      </c>
      <c r="D72" s="4" t="s">
        <v>171</v>
      </c>
      <c r="E72" s="5" t="s">
        <v>37</v>
      </c>
    </row>
    <row r="73" spans="1:6" x14ac:dyDescent="0.25">
      <c r="A73" s="34"/>
      <c r="B73" s="29">
        <f t="shared" si="2"/>
        <v>69</v>
      </c>
      <c r="C73" s="4" t="str">
        <f t="shared" si="3"/>
        <v>0x0114</v>
      </c>
      <c r="D73" s="4" t="s">
        <v>172</v>
      </c>
      <c r="E73" s="5" t="s">
        <v>37</v>
      </c>
      <c r="F73" s="35"/>
    </row>
    <row r="74" spans="1:6" x14ac:dyDescent="0.25">
      <c r="A74" s="34"/>
      <c r="B74" s="29">
        <f t="shared" si="2"/>
        <v>70</v>
      </c>
      <c r="C74" s="4" t="str">
        <f t="shared" si="3"/>
        <v>0x0118</v>
      </c>
      <c r="D74" s="4" t="s">
        <v>173</v>
      </c>
      <c r="E74" s="5" t="s">
        <v>37</v>
      </c>
      <c r="F74" s="36"/>
    </row>
    <row r="75" spans="1:6" x14ac:dyDescent="0.25">
      <c r="A75" s="34"/>
      <c r="B75" s="29">
        <f t="shared" si="2"/>
        <v>71</v>
      </c>
      <c r="C75" s="4" t="str">
        <f t="shared" si="3"/>
        <v>0x011C</v>
      </c>
      <c r="D75" s="4" t="s">
        <v>174</v>
      </c>
      <c r="E75" s="5" t="s">
        <v>37</v>
      </c>
    </row>
    <row r="76" spans="1:6" x14ac:dyDescent="0.25">
      <c r="A76" s="34"/>
      <c r="B76" s="29">
        <f t="shared" si="2"/>
        <v>72</v>
      </c>
      <c r="C76" s="4" t="str">
        <f t="shared" si="3"/>
        <v>0x0120</v>
      </c>
      <c r="D76" s="4" t="s">
        <v>177</v>
      </c>
      <c r="E76" s="5" t="s">
        <v>37</v>
      </c>
    </row>
    <row r="77" spans="1:6" x14ac:dyDescent="0.25">
      <c r="A77" s="34"/>
      <c r="B77" s="29">
        <f t="shared" si="2"/>
        <v>73</v>
      </c>
      <c r="C77" s="4" t="str">
        <f t="shared" si="3"/>
        <v>0x0124</v>
      </c>
      <c r="D77" s="4" t="s">
        <v>178</v>
      </c>
      <c r="E77" s="5" t="s">
        <v>37</v>
      </c>
    </row>
    <row r="78" spans="1:6" x14ac:dyDescent="0.25">
      <c r="A78" s="34"/>
      <c r="B78" s="29">
        <f t="shared" si="2"/>
        <v>74</v>
      </c>
      <c r="C78" s="4" t="str">
        <f t="shared" si="3"/>
        <v>0x0128</v>
      </c>
      <c r="D78" s="4" t="s">
        <v>179</v>
      </c>
      <c r="E78" s="5" t="s">
        <v>37</v>
      </c>
    </row>
    <row r="79" spans="1:6" x14ac:dyDescent="0.25">
      <c r="A79" s="34"/>
      <c r="B79" s="29">
        <f t="shared" si="2"/>
        <v>75</v>
      </c>
      <c r="C79" s="4" t="str">
        <f t="shared" si="3"/>
        <v>0x012C</v>
      </c>
      <c r="D79" s="4" t="s">
        <v>180</v>
      </c>
      <c r="E79" s="5" t="s">
        <v>37</v>
      </c>
    </row>
    <row r="80" spans="1:6" x14ac:dyDescent="0.25">
      <c r="A80" s="34"/>
      <c r="B80" s="29">
        <f t="shared" si="2"/>
        <v>76</v>
      </c>
      <c r="C80" s="4" t="str">
        <f t="shared" si="3"/>
        <v>0x0130</v>
      </c>
      <c r="D80" s="4" t="s">
        <v>181</v>
      </c>
      <c r="E80" s="5" t="s">
        <v>37</v>
      </c>
    </row>
    <row r="81" spans="1:5" x14ac:dyDescent="0.25">
      <c r="A81" s="34"/>
      <c r="B81" s="29">
        <f t="shared" si="2"/>
        <v>77</v>
      </c>
      <c r="C81" s="4" t="str">
        <f t="shared" si="3"/>
        <v>0x0134</v>
      </c>
      <c r="D81" s="4" t="s">
        <v>182</v>
      </c>
      <c r="E81" s="5" t="s">
        <v>37</v>
      </c>
    </row>
    <row r="82" spans="1:5" x14ac:dyDescent="0.25">
      <c r="A82" s="34"/>
      <c r="B82" s="29">
        <f t="shared" si="2"/>
        <v>78</v>
      </c>
      <c r="C82" s="4" t="str">
        <f t="shared" si="3"/>
        <v>0x0138</v>
      </c>
      <c r="D82" s="4" t="s">
        <v>183</v>
      </c>
      <c r="E82" s="5" t="s">
        <v>37</v>
      </c>
    </row>
    <row r="83" spans="1:5" x14ac:dyDescent="0.25">
      <c r="A83" s="34"/>
      <c r="B83" s="29">
        <f t="shared" si="2"/>
        <v>79</v>
      </c>
      <c r="C83" s="4" t="str">
        <f t="shared" si="3"/>
        <v>0x013C</v>
      </c>
      <c r="D83" s="4" t="s">
        <v>184</v>
      </c>
      <c r="E83" s="5" t="s">
        <v>37</v>
      </c>
    </row>
    <row r="84" spans="1:5" ht="45" x14ac:dyDescent="0.25">
      <c r="A84" s="34"/>
      <c r="B84" s="39"/>
      <c r="C84" s="40"/>
      <c r="D84" s="41" t="s">
        <v>185</v>
      </c>
      <c r="E84" s="42"/>
    </row>
    <row r="85" spans="1:5" x14ac:dyDescent="0.25">
      <c r="A85" s="34"/>
      <c r="B85" s="29">
        <v>456</v>
      </c>
      <c r="C85" s="4" t="str">
        <f t="shared" si="3"/>
        <v>0x0720</v>
      </c>
      <c r="D85" s="4" t="s">
        <v>186</v>
      </c>
      <c r="E85" s="5" t="s">
        <v>37</v>
      </c>
    </row>
    <row r="86" spans="1:5" x14ac:dyDescent="0.25">
      <c r="A86" s="34"/>
      <c r="B86" s="29">
        <f t="shared" si="2"/>
        <v>457</v>
      </c>
      <c r="C86" s="4" t="str">
        <f t="shared" si="3"/>
        <v>0x0724</v>
      </c>
      <c r="D86" s="4" t="s">
        <v>187</v>
      </c>
      <c r="E86" s="5" t="s">
        <v>37</v>
      </c>
    </row>
    <row r="87" spans="1:5" x14ac:dyDescent="0.25">
      <c r="A87" s="34"/>
      <c r="B87" s="29">
        <f t="shared" si="2"/>
        <v>458</v>
      </c>
      <c r="C87" s="4" t="str">
        <f t="shared" si="3"/>
        <v>0x0728</v>
      </c>
      <c r="D87" s="4" t="s">
        <v>188</v>
      </c>
      <c r="E87" s="5" t="s">
        <v>37</v>
      </c>
    </row>
    <row r="88" spans="1:5" x14ac:dyDescent="0.25">
      <c r="A88" s="34"/>
      <c r="B88" s="29">
        <f t="shared" si="2"/>
        <v>459</v>
      </c>
      <c r="C88" s="4" t="str">
        <f t="shared" si="3"/>
        <v>0x072C</v>
      </c>
      <c r="D88" s="4" t="s">
        <v>189</v>
      </c>
      <c r="E88" s="5" t="s">
        <v>37</v>
      </c>
    </row>
    <row r="89" spans="1:5" x14ac:dyDescent="0.25">
      <c r="A89" s="34"/>
      <c r="B89" s="29">
        <f t="shared" si="2"/>
        <v>460</v>
      </c>
      <c r="C89" s="4" t="str">
        <f t="shared" si="3"/>
        <v>0x0730</v>
      </c>
      <c r="D89" s="4" t="s">
        <v>190</v>
      </c>
      <c r="E89" s="5" t="s">
        <v>37</v>
      </c>
    </row>
    <row r="90" spans="1:5" x14ac:dyDescent="0.25">
      <c r="A90" s="34"/>
      <c r="B90" s="29">
        <f t="shared" si="2"/>
        <v>461</v>
      </c>
      <c r="C90" s="4" t="str">
        <f t="shared" si="3"/>
        <v>0x0734</v>
      </c>
      <c r="D90" s="4" t="s">
        <v>191</v>
      </c>
      <c r="E90" s="5" t="s">
        <v>37</v>
      </c>
    </row>
    <row r="91" spans="1:5" x14ac:dyDescent="0.25">
      <c r="A91" s="34"/>
      <c r="B91" s="29">
        <f t="shared" si="2"/>
        <v>462</v>
      </c>
      <c r="C91" s="4" t="str">
        <f t="shared" si="3"/>
        <v>0x0738</v>
      </c>
      <c r="D91" s="4" t="s">
        <v>192</v>
      </c>
      <c r="E91" s="5" t="s">
        <v>37</v>
      </c>
    </row>
    <row r="92" spans="1:5" x14ac:dyDescent="0.25">
      <c r="A92" s="34"/>
      <c r="B92" s="29">
        <f t="shared" si="2"/>
        <v>463</v>
      </c>
      <c r="C92" s="4" t="str">
        <f t="shared" si="3"/>
        <v>0x073C</v>
      </c>
      <c r="D92" s="4" t="s">
        <v>193</v>
      </c>
      <c r="E92" s="5" t="s">
        <v>37</v>
      </c>
    </row>
    <row r="93" spans="1:5" x14ac:dyDescent="0.25">
      <c r="A93" s="34">
        <v>464</v>
      </c>
      <c r="B93" s="29">
        <f t="shared" si="2"/>
        <v>464</v>
      </c>
      <c r="C93" s="4" t="str">
        <f t="shared" si="3"/>
        <v>0x0740</v>
      </c>
      <c r="D93" s="4" t="s">
        <v>194</v>
      </c>
      <c r="E93" s="5" t="s">
        <v>37</v>
      </c>
    </row>
    <row r="94" spans="1:5" x14ac:dyDescent="0.25">
      <c r="A94" s="34"/>
      <c r="B94" s="29">
        <f t="shared" si="2"/>
        <v>465</v>
      </c>
      <c r="C94" s="4" t="str">
        <f t="shared" si="3"/>
        <v>0x0744</v>
      </c>
      <c r="D94" s="4" t="s">
        <v>195</v>
      </c>
      <c r="E94" s="5" t="s">
        <v>37</v>
      </c>
    </row>
    <row r="95" spans="1:5" x14ac:dyDescent="0.25">
      <c r="A95" s="34"/>
      <c r="B95" s="29">
        <f t="shared" si="2"/>
        <v>466</v>
      </c>
      <c r="C95" s="4" t="str">
        <f t="shared" si="3"/>
        <v>0x0748</v>
      </c>
      <c r="D95" s="4" t="s">
        <v>196</v>
      </c>
      <c r="E95" s="5" t="s">
        <v>37</v>
      </c>
    </row>
    <row r="96" spans="1:5" x14ac:dyDescent="0.25">
      <c r="A96" s="34"/>
      <c r="B96" s="29">
        <f t="shared" si="2"/>
        <v>467</v>
      </c>
      <c r="C96" s="4" t="str">
        <f t="shared" si="3"/>
        <v>0x074C</v>
      </c>
      <c r="D96" s="4" t="s">
        <v>197</v>
      </c>
      <c r="E96" s="5" t="s">
        <v>37</v>
      </c>
    </row>
    <row r="97" spans="1:5" x14ac:dyDescent="0.25">
      <c r="A97" s="34"/>
      <c r="B97" s="29">
        <f t="shared" si="2"/>
        <v>468</v>
      </c>
      <c r="C97" s="4" t="str">
        <f t="shared" si="3"/>
        <v>0x0750</v>
      </c>
      <c r="D97" s="4" t="s">
        <v>198</v>
      </c>
      <c r="E97" s="5" t="s">
        <v>37</v>
      </c>
    </row>
    <row r="98" spans="1:5" x14ac:dyDescent="0.25">
      <c r="A98" s="34"/>
      <c r="B98" s="29">
        <f t="shared" si="2"/>
        <v>469</v>
      </c>
      <c r="C98" s="4" t="str">
        <f t="shared" si="3"/>
        <v>0x0754</v>
      </c>
      <c r="D98" s="4" t="s">
        <v>199</v>
      </c>
      <c r="E98" s="5" t="s">
        <v>37</v>
      </c>
    </row>
    <row r="99" spans="1:5" x14ac:dyDescent="0.25">
      <c r="A99" s="34"/>
      <c r="B99" s="29">
        <f t="shared" si="2"/>
        <v>470</v>
      </c>
      <c r="C99" s="4" t="str">
        <f t="shared" si="3"/>
        <v>0x0758</v>
      </c>
      <c r="D99" s="4" t="s">
        <v>200</v>
      </c>
      <c r="E99" s="5" t="s">
        <v>37</v>
      </c>
    </row>
    <row r="100" spans="1:5" x14ac:dyDescent="0.25">
      <c r="A100" s="34"/>
      <c r="B100" s="29">
        <f t="shared" si="2"/>
        <v>471</v>
      </c>
      <c r="C100" s="4" t="str">
        <f t="shared" si="3"/>
        <v>0x075C</v>
      </c>
      <c r="D100" s="4" t="s">
        <v>201</v>
      </c>
      <c r="E100" s="5" t="s">
        <v>37</v>
      </c>
    </row>
    <row r="101" spans="1:5" x14ac:dyDescent="0.25">
      <c r="B101" s="29">
        <f t="shared" si="2"/>
        <v>472</v>
      </c>
      <c r="C101" s="4" t="str">
        <f t="shared" si="3"/>
        <v>0x0760</v>
      </c>
      <c r="D101" s="4" t="s">
        <v>202</v>
      </c>
      <c r="E101" s="5" t="s">
        <v>37</v>
      </c>
    </row>
    <row r="102" spans="1:5" x14ac:dyDescent="0.25">
      <c r="B102" s="29">
        <f t="shared" si="2"/>
        <v>473</v>
      </c>
      <c r="C102" s="4" t="str">
        <f t="shared" si="3"/>
        <v>0x0764</v>
      </c>
      <c r="D102" s="4" t="s">
        <v>203</v>
      </c>
      <c r="E102" s="5" t="s">
        <v>37</v>
      </c>
    </row>
    <row r="103" spans="1:5" x14ac:dyDescent="0.25">
      <c r="B103" s="29">
        <f t="shared" si="2"/>
        <v>474</v>
      </c>
      <c r="C103" s="4" t="str">
        <f t="shared" si="3"/>
        <v>0x0768</v>
      </c>
      <c r="D103" s="4" t="s">
        <v>204</v>
      </c>
      <c r="E103" s="5" t="s">
        <v>37</v>
      </c>
    </row>
    <row r="104" spans="1:5" x14ac:dyDescent="0.25">
      <c r="B104" s="29">
        <f t="shared" si="2"/>
        <v>475</v>
      </c>
      <c r="C104" s="4" t="str">
        <f t="shared" si="3"/>
        <v>0x076C</v>
      </c>
      <c r="D104" s="4" t="s">
        <v>205</v>
      </c>
      <c r="E104" s="5" t="s">
        <v>37</v>
      </c>
    </row>
    <row r="105" spans="1:5" x14ac:dyDescent="0.25">
      <c r="B105" s="29">
        <f t="shared" si="2"/>
        <v>476</v>
      </c>
      <c r="C105" s="4" t="str">
        <f t="shared" si="3"/>
        <v>0x0770</v>
      </c>
      <c r="D105" s="4" t="s">
        <v>206</v>
      </c>
      <c r="E105" s="5" t="s">
        <v>37</v>
      </c>
    </row>
    <row r="106" spans="1:5" x14ac:dyDescent="0.25">
      <c r="B106" s="29">
        <f t="shared" si="2"/>
        <v>477</v>
      </c>
      <c r="C106" s="4" t="str">
        <f t="shared" si="3"/>
        <v>0x0774</v>
      </c>
      <c r="D106" s="4" t="s">
        <v>207</v>
      </c>
      <c r="E106" s="5" t="s">
        <v>37</v>
      </c>
    </row>
    <row r="107" spans="1:5" x14ac:dyDescent="0.25">
      <c r="B107" s="29">
        <f t="shared" si="2"/>
        <v>478</v>
      </c>
      <c r="C107" s="4" t="str">
        <f t="shared" si="3"/>
        <v>0x0778</v>
      </c>
      <c r="D107" s="4" t="s">
        <v>208</v>
      </c>
      <c r="E107" s="5" t="s">
        <v>37</v>
      </c>
    </row>
    <row r="108" spans="1:5" x14ac:dyDescent="0.25">
      <c r="B108" s="29">
        <f t="shared" si="2"/>
        <v>479</v>
      </c>
      <c r="C108" s="4" t="str">
        <f t="shared" si="3"/>
        <v>0x077C</v>
      </c>
      <c r="D108" s="4" t="s">
        <v>209</v>
      </c>
      <c r="E108" s="5" t="s">
        <v>37</v>
      </c>
    </row>
    <row r="109" spans="1:5" ht="45" x14ac:dyDescent="0.25">
      <c r="B109" s="43"/>
      <c r="C109" s="40"/>
      <c r="D109" s="41" t="s">
        <v>185</v>
      </c>
      <c r="E109" s="42"/>
    </row>
    <row r="110" spans="1:5" x14ac:dyDescent="0.25">
      <c r="B110" s="44">
        <v>856</v>
      </c>
      <c r="C110" s="45" t="str">
        <f t="shared" si="3"/>
        <v>0x0D60</v>
      </c>
      <c r="D110" s="45" t="s">
        <v>210</v>
      </c>
      <c r="E110" s="5" t="s">
        <v>37</v>
      </c>
    </row>
    <row r="111" spans="1:5" x14ac:dyDescent="0.25">
      <c r="B111" s="29">
        <f t="shared" ref="B111:B133" si="4">B110+1</f>
        <v>857</v>
      </c>
      <c r="C111" s="4" t="str">
        <f t="shared" si="3"/>
        <v>0x0D64</v>
      </c>
      <c r="D111" s="4" t="s">
        <v>211</v>
      </c>
      <c r="E111" s="5" t="s">
        <v>37</v>
      </c>
    </row>
    <row r="112" spans="1:5" x14ac:dyDescent="0.25">
      <c r="B112" s="29">
        <f t="shared" si="4"/>
        <v>858</v>
      </c>
      <c r="C112" s="4" t="str">
        <f t="shared" si="3"/>
        <v>0x0D68</v>
      </c>
      <c r="D112" s="4" t="s">
        <v>212</v>
      </c>
      <c r="E112" s="5" t="s">
        <v>37</v>
      </c>
    </row>
    <row r="113" spans="1:5" x14ac:dyDescent="0.25">
      <c r="B113" s="29">
        <f t="shared" si="4"/>
        <v>859</v>
      </c>
      <c r="C113" s="4" t="str">
        <f t="shared" si="3"/>
        <v>0x0D6C</v>
      </c>
      <c r="D113" s="4" t="s">
        <v>213</v>
      </c>
      <c r="E113" s="5" t="s">
        <v>37</v>
      </c>
    </row>
    <row r="114" spans="1:5" x14ac:dyDescent="0.25">
      <c r="B114" s="29">
        <f t="shared" si="4"/>
        <v>860</v>
      </c>
      <c r="C114" s="4" t="str">
        <f t="shared" si="3"/>
        <v>0x0D70</v>
      </c>
      <c r="D114" s="4" t="s">
        <v>214</v>
      </c>
      <c r="E114" s="5" t="s">
        <v>37</v>
      </c>
    </row>
    <row r="115" spans="1:5" x14ac:dyDescent="0.25">
      <c r="B115" s="29">
        <f t="shared" si="4"/>
        <v>861</v>
      </c>
      <c r="C115" s="4" t="str">
        <f t="shared" si="3"/>
        <v>0x0D74</v>
      </c>
      <c r="D115" s="4" t="s">
        <v>215</v>
      </c>
      <c r="E115" s="5" t="s">
        <v>37</v>
      </c>
    </row>
    <row r="116" spans="1:5" x14ac:dyDescent="0.25">
      <c r="B116" s="29">
        <f t="shared" si="4"/>
        <v>862</v>
      </c>
      <c r="C116" s="4" t="str">
        <f t="shared" si="3"/>
        <v>0x0D78</v>
      </c>
      <c r="D116" s="4" t="s">
        <v>216</v>
      </c>
      <c r="E116" s="5" t="s">
        <v>37</v>
      </c>
    </row>
    <row r="117" spans="1:5" x14ac:dyDescent="0.25">
      <c r="B117" s="29">
        <f t="shared" si="4"/>
        <v>863</v>
      </c>
      <c r="C117" s="4" t="str">
        <f t="shared" si="3"/>
        <v>0x0D7C</v>
      </c>
      <c r="D117" s="4" t="s">
        <v>217</v>
      </c>
      <c r="E117" s="5" t="s">
        <v>37</v>
      </c>
    </row>
    <row r="118" spans="1:5" x14ac:dyDescent="0.25">
      <c r="A118">
        <v>864</v>
      </c>
      <c r="B118" s="29">
        <f t="shared" si="4"/>
        <v>864</v>
      </c>
      <c r="C118" s="4" t="str">
        <f t="shared" si="3"/>
        <v>0x0D80</v>
      </c>
      <c r="D118" s="4" t="s">
        <v>218</v>
      </c>
      <c r="E118" s="5" t="s">
        <v>37</v>
      </c>
    </row>
    <row r="119" spans="1:5" x14ac:dyDescent="0.25">
      <c r="B119" s="29">
        <f t="shared" si="4"/>
        <v>865</v>
      </c>
      <c r="C119" s="4" t="str">
        <f t="shared" si="3"/>
        <v>0x0D84</v>
      </c>
      <c r="D119" s="4" t="s">
        <v>219</v>
      </c>
      <c r="E119" s="5" t="s">
        <v>37</v>
      </c>
    </row>
    <row r="120" spans="1:5" x14ac:dyDescent="0.25">
      <c r="B120" s="29">
        <f t="shared" si="4"/>
        <v>866</v>
      </c>
      <c r="C120" s="4" t="str">
        <f t="shared" si="3"/>
        <v>0x0D88</v>
      </c>
      <c r="D120" s="4" t="s">
        <v>220</v>
      </c>
      <c r="E120" s="5" t="s">
        <v>37</v>
      </c>
    </row>
    <row r="121" spans="1:5" x14ac:dyDescent="0.25">
      <c r="B121" s="29">
        <f t="shared" si="4"/>
        <v>867</v>
      </c>
      <c r="C121" s="4" t="str">
        <f t="shared" si="3"/>
        <v>0x0D8C</v>
      </c>
      <c r="D121" s="4" t="s">
        <v>221</v>
      </c>
      <c r="E121" s="5" t="s">
        <v>37</v>
      </c>
    </row>
    <row r="122" spans="1:5" x14ac:dyDescent="0.25">
      <c r="B122" s="29">
        <f t="shared" si="4"/>
        <v>868</v>
      </c>
      <c r="C122" s="4" t="str">
        <f t="shared" si="3"/>
        <v>0x0D90</v>
      </c>
      <c r="D122" s="4" t="s">
        <v>222</v>
      </c>
      <c r="E122" s="5" t="s">
        <v>37</v>
      </c>
    </row>
    <row r="123" spans="1:5" x14ac:dyDescent="0.25">
      <c r="B123" s="29">
        <f t="shared" si="4"/>
        <v>869</v>
      </c>
      <c r="C123" s="4" t="str">
        <f t="shared" si="3"/>
        <v>0x0D94</v>
      </c>
      <c r="D123" s="4" t="s">
        <v>223</v>
      </c>
      <c r="E123" s="5" t="s">
        <v>37</v>
      </c>
    </row>
    <row r="124" spans="1:5" x14ac:dyDescent="0.25">
      <c r="B124" s="29">
        <f t="shared" si="4"/>
        <v>870</v>
      </c>
      <c r="C124" s="4" t="str">
        <f t="shared" si="3"/>
        <v>0x0D98</v>
      </c>
      <c r="D124" s="4" t="s">
        <v>224</v>
      </c>
      <c r="E124" s="5" t="s">
        <v>37</v>
      </c>
    </row>
    <row r="125" spans="1:5" x14ac:dyDescent="0.25">
      <c r="B125" s="29">
        <f t="shared" si="4"/>
        <v>871</v>
      </c>
      <c r="C125" s="4" t="str">
        <f t="shared" si="3"/>
        <v>0x0D9C</v>
      </c>
      <c r="D125" s="4" t="s">
        <v>225</v>
      </c>
      <c r="E125" s="5" t="s">
        <v>37</v>
      </c>
    </row>
    <row r="126" spans="1:5" x14ac:dyDescent="0.25">
      <c r="B126" s="29">
        <f t="shared" si="4"/>
        <v>872</v>
      </c>
      <c r="C126" s="4" t="str">
        <f t="shared" si="3"/>
        <v>0x0DA0</v>
      </c>
      <c r="D126" s="4" t="s">
        <v>226</v>
      </c>
      <c r="E126" s="5" t="s">
        <v>37</v>
      </c>
    </row>
    <row r="127" spans="1:5" x14ac:dyDescent="0.25">
      <c r="B127" s="29">
        <f t="shared" si="4"/>
        <v>873</v>
      </c>
      <c r="C127" s="4" t="str">
        <f t="shared" si="3"/>
        <v>0x0DA4</v>
      </c>
      <c r="D127" s="4" t="s">
        <v>227</v>
      </c>
      <c r="E127" s="5" t="s">
        <v>37</v>
      </c>
    </row>
    <row r="128" spans="1:5" x14ac:dyDescent="0.25">
      <c r="B128" s="29">
        <f t="shared" si="4"/>
        <v>874</v>
      </c>
      <c r="C128" s="4" t="str">
        <f t="shared" si="3"/>
        <v>0x0DA8</v>
      </c>
      <c r="D128" s="4" t="s">
        <v>228</v>
      </c>
      <c r="E128" s="5" t="s">
        <v>37</v>
      </c>
    </row>
    <row r="129" spans="1:5" x14ac:dyDescent="0.25">
      <c r="B129" s="29">
        <f t="shared" si="4"/>
        <v>875</v>
      </c>
      <c r="C129" s="4" t="str">
        <f t="shared" si="3"/>
        <v>0x0DAC</v>
      </c>
      <c r="D129" s="4" t="s">
        <v>229</v>
      </c>
      <c r="E129" s="5" t="s">
        <v>37</v>
      </c>
    </row>
    <row r="130" spans="1:5" x14ac:dyDescent="0.25">
      <c r="B130" s="29">
        <f t="shared" si="4"/>
        <v>876</v>
      </c>
      <c r="C130" s="4" t="str">
        <f t="shared" si="3"/>
        <v>0x0DB0</v>
      </c>
      <c r="D130" s="4" t="s">
        <v>230</v>
      </c>
      <c r="E130" s="5" t="s">
        <v>37</v>
      </c>
    </row>
    <row r="131" spans="1:5" x14ac:dyDescent="0.25">
      <c r="B131" s="29">
        <f t="shared" si="4"/>
        <v>877</v>
      </c>
      <c r="C131" s="4" t="str">
        <f t="shared" si="3"/>
        <v>0x0DB4</v>
      </c>
      <c r="D131" s="4" t="s">
        <v>231</v>
      </c>
      <c r="E131" s="5" t="s">
        <v>37</v>
      </c>
    </row>
    <row r="132" spans="1:5" x14ac:dyDescent="0.25">
      <c r="B132" s="29">
        <f t="shared" si="4"/>
        <v>878</v>
      </c>
      <c r="C132" s="4" t="str">
        <f t="shared" si="3"/>
        <v>0x0DB8</v>
      </c>
      <c r="D132" s="4" t="s">
        <v>232</v>
      </c>
      <c r="E132" s="5" t="s">
        <v>37</v>
      </c>
    </row>
    <row r="133" spans="1:5" x14ac:dyDescent="0.25">
      <c r="B133" s="46">
        <f t="shared" si="4"/>
        <v>879</v>
      </c>
      <c r="C133" s="47" t="str">
        <f t="shared" ref="C133:C167" si="5">"0x"&amp;DEC2HEX((B133)*4,4)</f>
        <v>0x0DBC</v>
      </c>
      <c r="D133" s="47" t="s">
        <v>233</v>
      </c>
      <c r="E133" s="48" t="s">
        <v>37</v>
      </c>
    </row>
    <row r="134" spans="1:5" ht="45" x14ac:dyDescent="0.25">
      <c r="B134" s="43"/>
      <c r="C134" s="40"/>
      <c r="D134" s="41" t="s">
        <v>185</v>
      </c>
      <c r="E134" s="42"/>
    </row>
    <row r="135" spans="1:5" x14ac:dyDescent="0.25">
      <c r="B135" s="44">
        <v>1256</v>
      </c>
      <c r="C135" s="45" t="str">
        <f t="shared" si="5"/>
        <v>0x13A0</v>
      </c>
      <c r="D135" s="45" t="s">
        <v>234</v>
      </c>
      <c r="E135" s="49" t="s">
        <v>37</v>
      </c>
    </row>
    <row r="136" spans="1:5" x14ac:dyDescent="0.25">
      <c r="B136" s="29">
        <f t="shared" ref="B136:B158" si="6">B135+1</f>
        <v>1257</v>
      </c>
      <c r="C136" s="4" t="str">
        <f t="shared" si="5"/>
        <v>0x13A4</v>
      </c>
      <c r="D136" s="4" t="s">
        <v>235</v>
      </c>
      <c r="E136" s="5" t="s">
        <v>37</v>
      </c>
    </row>
    <row r="137" spans="1:5" x14ac:dyDescent="0.25">
      <c r="B137" s="29">
        <f t="shared" si="6"/>
        <v>1258</v>
      </c>
      <c r="C137" s="4" t="str">
        <f t="shared" si="5"/>
        <v>0x13A8</v>
      </c>
      <c r="D137" s="4" t="s">
        <v>236</v>
      </c>
      <c r="E137" s="5" t="s">
        <v>37</v>
      </c>
    </row>
    <row r="138" spans="1:5" x14ac:dyDescent="0.25">
      <c r="B138" s="29">
        <f t="shared" si="6"/>
        <v>1259</v>
      </c>
      <c r="C138" s="4" t="str">
        <f t="shared" si="5"/>
        <v>0x13AC</v>
      </c>
      <c r="D138" s="4" t="s">
        <v>237</v>
      </c>
      <c r="E138" s="5" t="s">
        <v>37</v>
      </c>
    </row>
    <row r="139" spans="1:5" x14ac:dyDescent="0.25">
      <c r="B139" s="29">
        <f t="shared" si="6"/>
        <v>1260</v>
      </c>
      <c r="C139" s="4" t="str">
        <f t="shared" si="5"/>
        <v>0x13B0</v>
      </c>
      <c r="D139" s="4" t="s">
        <v>238</v>
      </c>
      <c r="E139" s="5" t="s">
        <v>37</v>
      </c>
    </row>
    <row r="140" spans="1:5" x14ac:dyDescent="0.25">
      <c r="B140" s="29">
        <f t="shared" si="6"/>
        <v>1261</v>
      </c>
      <c r="C140" s="4" t="str">
        <f t="shared" si="5"/>
        <v>0x13B4</v>
      </c>
      <c r="D140" s="4" t="s">
        <v>239</v>
      </c>
      <c r="E140" s="5" t="s">
        <v>37</v>
      </c>
    </row>
    <row r="141" spans="1:5" x14ac:dyDescent="0.25">
      <c r="B141" s="29">
        <f t="shared" si="6"/>
        <v>1262</v>
      </c>
      <c r="C141" s="4" t="str">
        <f t="shared" si="5"/>
        <v>0x13B8</v>
      </c>
      <c r="D141" s="4" t="s">
        <v>240</v>
      </c>
      <c r="E141" s="5" t="s">
        <v>37</v>
      </c>
    </row>
    <row r="142" spans="1:5" x14ac:dyDescent="0.25">
      <c r="B142" s="29">
        <f t="shared" si="6"/>
        <v>1263</v>
      </c>
      <c r="C142" s="4" t="str">
        <f t="shared" si="5"/>
        <v>0x13BC</v>
      </c>
      <c r="D142" s="4" t="s">
        <v>241</v>
      </c>
      <c r="E142" s="5" t="s">
        <v>37</v>
      </c>
    </row>
    <row r="143" spans="1:5" x14ac:dyDescent="0.25">
      <c r="A143">
        <v>1264</v>
      </c>
      <c r="B143" s="29">
        <f t="shared" si="6"/>
        <v>1264</v>
      </c>
      <c r="C143" s="4" t="str">
        <f t="shared" si="5"/>
        <v>0x13C0</v>
      </c>
      <c r="D143" s="4" t="s">
        <v>242</v>
      </c>
      <c r="E143" s="5" t="s">
        <v>37</v>
      </c>
    </row>
    <row r="144" spans="1:5" x14ac:dyDescent="0.25">
      <c r="B144" s="29">
        <f t="shared" si="6"/>
        <v>1265</v>
      </c>
      <c r="C144" s="4" t="str">
        <f t="shared" si="5"/>
        <v>0x13C4</v>
      </c>
      <c r="D144" s="4" t="s">
        <v>243</v>
      </c>
      <c r="E144" s="5" t="s">
        <v>37</v>
      </c>
    </row>
    <row r="145" spans="2:5" x14ac:dyDescent="0.25">
      <c r="B145" s="29">
        <f t="shared" si="6"/>
        <v>1266</v>
      </c>
      <c r="C145" s="4" t="str">
        <f t="shared" si="5"/>
        <v>0x13C8</v>
      </c>
      <c r="D145" s="4" t="s">
        <v>244</v>
      </c>
      <c r="E145" s="5" t="s">
        <v>37</v>
      </c>
    </row>
    <row r="146" spans="2:5" x14ac:dyDescent="0.25">
      <c r="B146" s="29">
        <f t="shared" si="6"/>
        <v>1267</v>
      </c>
      <c r="C146" s="4" t="str">
        <f t="shared" si="5"/>
        <v>0x13CC</v>
      </c>
      <c r="D146" s="4" t="s">
        <v>245</v>
      </c>
      <c r="E146" s="5" t="s">
        <v>37</v>
      </c>
    </row>
    <row r="147" spans="2:5" x14ac:dyDescent="0.25">
      <c r="B147" s="29">
        <f t="shared" si="6"/>
        <v>1268</v>
      </c>
      <c r="C147" s="4" t="str">
        <f t="shared" si="5"/>
        <v>0x13D0</v>
      </c>
      <c r="D147" s="4" t="s">
        <v>246</v>
      </c>
      <c r="E147" s="5" t="s">
        <v>37</v>
      </c>
    </row>
    <row r="148" spans="2:5" x14ac:dyDescent="0.25">
      <c r="B148" s="29">
        <f t="shared" si="6"/>
        <v>1269</v>
      </c>
      <c r="C148" s="4" t="str">
        <f t="shared" si="5"/>
        <v>0x13D4</v>
      </c>
      <c r="D148" s="4" t="s">
        <v>247</v>
      </c>
      <c r="E148" s="5" t="s">
        <v>37</v>
      </c>
    </row>
    <row r="149" spans="2:5" x14ac:dyDescent="0.25">
      <c r="B149" s="29">
        <f t="shared" si="6"/>
        <v>1270</v>
      </c>
      <c r="C149" s="4" t="str">
        <f t="shared" si="5"/>
        <v>0x13D8</v>
      </c>
      <c r="D149" s="4" t="s">
        <v>248</v>
      </c>
      <c r="E149" s="5" t="s">
        <v>37</v>
      </c>
    </row>
    <row r="150" spans="2:5" x14ac:dyDescent="0.25">
      <c r="B150" s="29">
        <f t="shared" si="6"/>
        <v>1271</v>
      </c>
      <c r="C150" s="4" t="str">
        <f t="shared" si="5"/>
        <v>0x13DC</v>
      </c>
      <c r="D150" s="4" t="s">
        <v>249</v>
      </c>
      <c r="E150" s="5" t="s">
        <v>37</v>
      </c>
    </row>
    <row r="151" spans="2:5" x14ac:dyDescent="0.25">
      <c r="B151" s="29">
        <f t="shared" si="6"/>
        <v>1272</v>
      </c>
      <c r="C151" s="4" t="str">
        <f t="shared" si="5"/>
        <v>0x13E0</v>
      </c>
      <c r="D151" s="4" t="s">
        <v>250</v>
      </c>
      <c r="E151" s="5" t="s">
        <v>37</v>
      </c>
    </row>
    <row r="152" spans="2:5" x14ac:dyDescent="0.25">
      <c r="B152" s="29">
        <f t="shared" si="6"/>
        <v>1273</v>
      </c>
      <c r="C152" s="4" t="str">
        <f t="shared" si="5"/>
        <v>0x13E4</v>
      </c>
      <c r="D152" s="4" t="s">
        <v>251</v>
      </c>
      <c r="E152" s="5" t="s">
        <v>37</v>
      </c>
    </row>
    <row r="153" spans="2:5" x14ac:dyDescent="0.25">
      <c r="B153" s="29">
        <f t="shared" si="6"/>
        <v>1274</v>
      </c>
      <c r="C153" s="4" t="str">
        <f t="shared" si="5"/>
        <v>0x13E8</v>
      </c>
      <c r="D153" s="4" t="s">
        <v>252</v>
      </c>
      <c r="E153" s="5" t="s">
        <v>37</v>
      </c>
    </row>
    <row r="154" spans="2:5" x14ac:dyDescent="0.25">
      <c r="B154" s="29">
        <f t="shared" si="6"/>
        <v>1275</v>
      </c>
      <c r="C154" s="4" t="str">
        <f t="shared" si="5"/>
        <v>0x13EC</v>
      </c>
      <c r="D154" s="4" t="s">
        <v>253</v>
      </c>
      <c r="E154" s="5" t="s">
        <v>37</v>
      </c>
    </row>
    <row r="155" spans="2:5" x14ac:dyDescent="0.25">
      <c r="B155" s="29">
        <f t="shared" si="6"/>
        <v>1276</v>
      </c>
      <c r="C155" s="4" t="str">
        <f t="shared" si="5"/>
        <v>0x13F0</v>
      </c>
      <c r="D155" s="4" t="s">
        <v>254</v>
      </c>
      <c r="E155" s="5" t="s">
        <v>37</v>
      </c>
    </row>
    <row r="156" spans="2:5" x14ac:dyDescent="0.25">
      <c r="B156" s="29">
        <f t="shared" si="6"/>
        <v>1277</v>
      </c>
      <c r="C156" s="4" t="str">
        <f t="shared" si="5"/>
        <v>0x13F4</v>
      </c>
      <c r="D156" s="4" t="s">
        <v>255</v>
      </c>
      <c r="E156" s="5" t="s">
        <v>37</v>
      </c>
    </row>
    <row r="157" spans="2:5" x14ac:dyDescent="0.25">
      <c r="B157" s="29">
        <f t="shared" si="6"/>
        <v>1278</v>
      </c>
      <c r="C157" s="4" t="str">
        <f t="shared" si="5"/>
        <v>0x13F8</v>
      </c>
      <c r="D157" s="4" t="s">
        <v>256</v>
      </c>
      <c r="E157" s="5" t="s">
        <v>37</v>
      </c>
    </row>
    <row r="158" spans="2:5" x14ac:dyDescent="0.25">
      <c r="B158" s="46">
        <f t="shared" si="6"/>
        <v>1279</v>
      </c>
      <c r="C158" s="47" t="str">
        <f t="shared" si="5"/>
        <v>0x13FC</v>
      </c>
      <c r="D158" s="47" t="s">
        <v>257</v>
      </c>
      <c r="E158" s="48" t="s">
        <v>37</v>
      </c>
    </row>
    <row r="159" spans="2:5" ht="45" x14ac:dyDescent="0.25">
      <c r="B159" s="43"/>
      <c r="C159" s="40"/>
      <c r="D159" s="41" t="s">
        <v>185</v>
      </c>
      <c r="E159" s="42"/>
    </row>
    <row r="160" spans="2:5" x14ac:dyDescent="0.25">
      <c r="B160" s="44">
        <v>1656</v>
      </c>
      <c r="C160" s="45" t="str">
        <f t="shared" si="5"/>
        <v>0x19E0</v>
      </c>
      <c r="D160" s="45" t="s">
        <v>258</v>
      </c>
      <c r="E160" s="49" t="s">
        <v>37</v>
      </c>
    </row>
    <row r="161" spans="1:5" x14ac:dyDescent="0.25">
      <c r="B161" s="29">
        <f t="shared" ref="B161:B167" si="7">B160+1</f>
        <v>1657</v>
      </c>
      <c r="C161" s="4" t="str">
        <f t="shared" si="5"/>
        <v>0x19E4</v>
      </c>
      <c r="D161" s="4" t="s">
        <v>259</v>
      </c>
      <c r="E161" s="5" t="s">
        <v>37</v>
      </c>
    </row>
    <row r="162" spans="1:5" x14ac:dyDescent="0.25">
      <c r="B162" s="29">
        <f t="shared" si="7"/>
        <v>1658</v>
      </c>
      <c r="C162" s="4" t="str">
        <f t="shared" si="5"/>
        <v>0x19E8</v>
      </c>
      <c r="D162" s="4" t="s">
        <v>260</v>
      </c>
      <c r="E162" s="5" t="s">
        <v>37</v>
      </c>
    </row>
    <row r="163" spans="1:5" x14ac:dyDescent="0.25">
      <c r="B163" s="29">
        <f t="shared" si="7"/>
        <v>1659</v>
      </c>
      <c r="C163" s="4" t="str">
        <f t="shared" si="5"/>
        <v>0x19EC</v>
      </c>
      <c r="D163" s="4" t="s">
        <v>261</v>
      </c>
      <c r="E163" s="5" t="s">
        <v>37</v>
      </c>
    </row>
    <row r="164" spans="1:5" x14ac:dyDescent="0.25">
      <c r="B164" s="29">
        <f t="shared" si="7"/>
        <v>1660</v>
      </c>
      <c r="C164" s="4" t="str">
        <f t="shared" si="5"/>
        <v>0x19F0</v>
      </c>
      <c r="D164" s="4" t="s">
        <v>262</v>
      </c>
      <c r="E164" s="5" t="s">
        <v>37</v>
      </c>
    </row>
    <row r="165" spans="1:5" x14ac:dyDescent="0.25">
      <c r="B165" s="29">
        <f t="shared" si="7"/>
        <v>1661</v>
      </c>
      <c r="C165" s="4" t="str">
        <f t="shared" si="5"/>
        <v>0x19F4</v>
      </c>
      <c r="D165" s="4" t="s">
        <v>263</v>
      </c>
      <c r="E165" s="5" t="s">
        <v>37</v>
      </c>
    </row>
    <row r="166" spans="1:5" x14ac:dyDescent="0.25">
      <c r="B166" s="29">
        <f t="shared" si="7"/>
        <v>1662</v>
      </c>
      <c r="C166" s="4" t="str">
        <f t="shared" si="5"/>
        <v>0x19F8</v>
      </c>
      <c r="D166" s="4" t="s">
        <v>264</v>
      </c>
      <c r="E166" s="5" t="s">
        <v>37</v>
      </c>
    </row>
    <row r="167" spans="1:5" x14ac:dyDescent="0.25">
      <c r="A167">
        <v>1663</v>
      </c>
      <c r="B167" s="29">
        <f t="shared" si="7"/>
        <v>1663</v>
      </c>
      <c r="C167" s="4" t="str">
        <f t="shared" si="5"/>
        <v>0x19FC</v>
      </c>
      <c r="D167" s="4" t="s">
        <v>265</v>
      </c>
      <c r="E167" s="5" t="s">
        <v>37</v>
      </c>
    </row>
  </sheetData>
  <mergeCells count="1">
    <mergeCell ref="B63:E6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F5F32-57A6-4FCD-96E9-BE810F35AC10}">
  <dimension ref="A2:C21"/>
  <sheetViews>
    <sheetView workbookViewId="0"/>
  </sheetViews>
  <sheetFormatPr defaultRowHeight="15" x14ac:dyDescent="0.25"/>
  <cols>
    <col min="1" max="1" width="11.140625" style="1" customWidth="1"/>
    <col min="2" max="2" width="85.42578125" customWidth="1"/>
    <col min="3" max="3" width="8.7109375" customWidth="1"/>
  </cols>
  <sheetData>
    <row r="2" spans="1:3" ht="15" customHeight="1" x14ac:dyDescent="0.25">
      <c r="A2" s="21" t="s">
        <v>26</v>
      </c>
      <c r="B2" s="21" t="s">
        <v>270</v>
      </c>
      <c r="C2" s="19" t="s">
        <v>47</v>
      </c>
    </row>
    <row r="3" spans="1:3" ht="15" customHeight="1" x14ac:dyDescent="0.25">
      <c r="A3" s="22">
        <v>0</v>
      </c>
      <c r="B3" s="2" t="s">
        <v>54</v>
      </c>
      <c r="C3" s="29"/>
    </row>
    <row r="4" spans="1:3" ht="15" customHeight="1" x14ac:dyDescent="0.25">
      <c r="A4" s="22">
        <v>1</v>
      </c>
      <c r="B4" s="2" t="s">
        <v>55</v>
      </c>
      <c r="C4" s="29"/>
    </row>
    <row r="5" spans="1:3" ht="15" customHeight="1" x14ac:dyDescent="0.25">
      <c r="A5" s="22">
        <v>2</v>
      </c>
      <c r="B5" s="2" t="s">
        <v>24</v>
      </c>
      <c r="C5" s="29"/>
    </row>
    <row r="6" spans="1:3" ht="15" customHeight="1" x14ac:dyDescent="0.25">
      <c r="A6" s="22">
        <v>3</v>
      </c>
      <c r="B6" s="2" t="s">
        <v>56</v>
      </c>
      <c r="C6" s="29"/>
    </row>
    <row r="7" spans="1:3" ht="15" customHeight="1" x14ac:dyDescent="0.25">
      <c r="A7" s="22">
        <v>4</v>
      </c>
      <c r="B7" s="2" t="s">
        <v>57</v>
      </c>
      <c r="C7" s="29"/>
    </row>
    <row r="8" spans="1:3" ht="15" customHeight="1" x14ac:dyDescent="0.25">
      <c r="A8" s="22">
        <v>5</v>
      </c>
      <c r="B8" s="2" t="s">
        <v>176</v>
      </c>
      <c r="C8" s="29"/>
    </row>
    <row r="9" spans="1:3" ht="15" customHeight="1" x14ac:dyDescent="0.25">
      <c r="A9" s="22">
        <v>6</v>
      </c>
      <c r="B9" s="2" t="s">
        <v>175</v>
      </c>
      <c r="C9" s="29"/>
    </row>
    <row r="10" spans="1:3" ht="15" customHeight="1" x14ac:dyDescent="0.25">
      <c r="A10" s="22">
        <v>7</v>
      </c>
      <c r="B10" s="2" t="s">
        <v>58</v>
      </c>
      <c r="C10" s="29"/>
    </row>
    <row r="12" spans="1:3" x14ac:dyDescent="0.25">
      <c r="B12" s="17" t="s">
        <v>13</v>
      </c>
    </row>
    <row r="13" spans="1:3" x14ac:dyDescent="0.25">
      <c r="B13" s="8" t="s">
        <v>27</v>
      </c>
    </row>
    <row r="14" spans="1:3" x14ac:dyDescent="0.25">
      <c r="B14" s="8"/>
    </row>
    <row r="15" spans="1:3" x14ac:dyDescent="0.25">
      <c r="B15" s="8"/>
    </row>
    <row r="20" spans="2:2" x14ac:dyDescent="0.25">
      <c r="B20" s="18"/>
    </row>
    <row r="21" spans="2:2" x14ac:dyDescent="0.25">
      <c r="B21" s="18"/>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E8"/>
  <sheetViews>
    <sheetView workbookViewId="0"/>
  </sheetViews>
  <sheetFormatPr defaultRowHeight="15" x14ac:dyDescent="0.25"/>
  <cols>
    <col min="1" max="1" width="11.140625" style="1" customWidth="1"/>
    <col min="2" max="2" width="76.42578125" customWidth="1"/>
    <col min="3" max="3" width="12.5703125" customWidth="1"/>
  </cols>
  <sheetData>
    <row r="2" spans="1:5" x14ac:dyDescent="0.25">
      <c r="A2" s="21" t="s">
        <v>0</v>
      </c>
      <c r="B2" s="21" t="s">
        <v>1</v>
      </c>
      <c r="C2" s="21" t="s">
        <v>45</v>
      </c>
      <c r="D2" s="19" t="s">
        <v>46</v>
      </c>
      <c r="E2" s="19" t="s">
        <v>47</v>
      </c>
    </row>
    <row r="3" spans="1:5" x14ac:dyDescent="0.25">
      <c r="A3" s="23" t="s">
        <v>12</v>
      </c>
      <c r="B3" s="24" t="s">
        <v>2</v>
      </c>
      <c r="C3" s="25"/>
      <c r="D3" s="25"/>
      <c r="E3" s="25"/>
    </row>
    <row r="4" spans="1:5" x14ac:dyDescent="0.25">
      <c r="A4" s="15" t="s">
        <v>8</v>
      </c>
      <c r="B4" s="4" t="s">
        <v>42</v>
      </c>
      <c r="C4" s="4" t="s">
        <v>43</v>
      </c>
      <c r="D4" s="15" t="s">
        <v>44</v>
      </c>
      <c r="E4" s="15">
        <v>1</v>
      </c>
    </row>
    <row r="6" spans="1:5" x14ac:dyDescent="0.25">
      <c r="B6" s="9" t="s">
        <v>13</v>
      </c>
    </row>
    <row r="7" spans="1:5" ht="15" customHeight="1" x14ac:dyDescent="0.25">
      <c r="B7" s="14" t="s">
        <v>266</v>
      </c>
    </row>
    <row r="8" spans="1:5" ht="15" customHeight="1" x14ac:dyDescent="0.25"/>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E23"/>
  <sheetViews>
    <sheetView workbookViewId="0"/>
  </sheetViews>
  <sheetFormatPr defaultRowHeight="15" x14ac:dyDescent="0.25"/>
  <cols>
    <col min="1" max="1" width="11.140625" style="1" customWidth="1"/>
    <col min="2" max="2" width="89.85546875" customWidth="1"/>
    <col min="3" max="3" width="10.7109375" customWidth="1"/>
    <col min="4" max="4" width="9.140625" customWidth="1"/>
    <col min="5" max="5" width="7.42578125" customWidth="1"/>
  </cols>
  <sheetData>
    <row r="2" spans="1:5" x14ac:dyDescent="0.25">
      <c r="A2" s="21" t="s">
        <v>0</v>
      </c>
      <c r="B2" s="21" t="s">
        <v>1</v>
      </c>
      <c r="C2" s="21" t="s">
        <v>45</v>
      </c>
      <c r="D2" s="19" t="s">
        <v>46</v>
      </c>
      <c r="E2" s="19" t="s">
        <v>47</v>
      </c>
    </row>
    <row r="3" spans="1:5" x14ac:dyDescent="0.25">
      <c r="A3" s="26" t="s">
        <v>12</v>
      </c>
      <c r="B3" s="28" t="s">
        <v>52</v>
      </c>
      <c r="C3" s="25" t="s">
        <v>43</v>
      </c>
      <c r="D3" s="26" t="s">
        <v>53</v>
      </c>
      <c r="E3" s="50">
        <v>2</v>
      </c>
    </row>
    <row r="4" spans="1:5" x14ac:dyDescent="0.25">
      <c r="A4" s="29" t="s">
        <v>274</v>
      </c>
      <c r="B4" s="27" t="s">
        <v>275</v>
      </c>
      <c r="C4" s="5"/>
      <c r="D4" s="29" t="s">
        <v>44</v>
      </c>
      <c r="E4" s="29"/>
    </row>
    <row r="5" spans="1:5" x14ac:dyDescent="0.25">
      <c r="A5" s="26">
        <v>12</v>
      </c>
      <c r="B5" s="28" t="s">
        <v>276</v>
      </c>
      <c r="C5" s="25" t="s">
        <v>43</v>
      </c>
      <c r="D5" s="26">
        <v>0</v>
      </c>
      <c r="E5" s="26">
        <v>3</v>
      </c>
    </row>
    <row r="6" spans="1:5" x14ac:dyDescent="0.25">
      <c r="A6" s="29">
        <v>11</v>
      </c>
      <c r="B6" s="27" t="s">
        <v>279</v>
      </c>
      <c r="C6" s="5" t="s">
        <v>43</v>
      </c>
      <c r="D6" s="29">
        <v>0</v>
      </c>
      <c r="E6" s="29">
        <v>4</v>
      </c>
    </row>
    <row r="7" spans="1:5" x14ac:dyDescent="0.25">
      <c r="A7" s="26">
        <v>10</v>
      </c>
      <c r="B7" s="28" t="s">
        <v>278</v>
      </c>
      <c r="C7" s="25" t="s">
        <v>43</v>
      </c>
      <c r="D7" s="26">
        <v>0</v>
      </c>
      <c r="E7" s="26">
        <v>4</v>
      </c>
    </row>
    <row r="8" spans="1:5" x14ac:dyDescent="0.25">
      <c r="A8" s="29">
        <v>9</v>
      </c>
      <c r="B8" s="27" t="s">
        <v>277</v>
      </c>
      <c r="C8" s="5" t="s">
        <v>43</v>
      </c>
      <c r="D8" s="29">
        <v>0</v>
      </c>
      <c r="E8" s="29">
        <v>4</v>
      </c>
    </row>
    <row r="9" spans="1:5" x14ac:dyDescent="0.25">
      <c r="A9" s="26">
        <v>8</v>
      </c>
      <c r="B9" s="28" t="s">
        <v>273</v>
      </c>
      <c r="C9" s="25" t="s">
        <v>43</v>
      </c>
      <c r="D9" s="26">
        <v>0</v>
      </c>
      <c r="E9" s="26">
        <v>3</v>
      </c>
    </row>
    <row r="10" spans="1:5" x14ac:dyDescent="0.25">
      <c r="A10" s="29">
        <v>7</v>
      </c>
      <c r="B10" s="27" t="s">
        <v>51</v>
      </c>
      <c r="C10" s="5" t="s">
        <v>43</v>
      </c>
      <c r="D10" s="29">
        <v>0</v>
      </c>
      <c r="E10" s="29">
        <v>1</v>
      </c>
    </row>
    <row r="11" spans="1:5" x14ac:dyDescent="0.25">
      <c r="A11" s="26">
        <v>6</v>
      </c>
      <c r="B11" s="25" t="s">
        <v>48</v>
      </c>
      <c r="C11" s="25" t="s">
        <v>43</v>
      </c>
      <c r="D11" s="26">
        <v>0</v>
      </c>
      <c r="E11" s="26">
        <v>2</v>
      </c>
    </row>
    <row r="12" spans="1:5" x14ac:dyDescent="0.25">
      <c r="A12" s="29">
        <v>5</v>
      </c>
      <c r="B12" s="5" t="s">
        <v>50</v>
      </c>
      <c r="C12" s="5" t="s">
        <v>43</v>
      </c>
      <c r="D12" s="29">
        <v>0</v>
      </c>
      <c r="E12" s="29">
        <v>2</v>
      </c>
    </row>
    <row r="13" spans="1:5" x14ac:dyDescent="0.25">
      <c r="A13" s="26">
        <v>4</v>
      </c>
      <c r="B13" s="25" t="s">
        <v>10</v>
      </c>
      <c r="C13" s="25" t="s">
        <v>43</v>
      </c>
      <c r="D13" s="26">
        <v>0</v>
      </c>
      <c r="E13" s="26">
        <v>2</v>
      </c>
    </row>
    <row r="14" spans="1:5" x14ac:dyDescent="0.25">
      <c r="A14" s="29">
        <v>3</v>
      </c>
      <c r="B14" s="5" t="s">
        <v>14</v>
      </c>
      <c r="C14" s="5" t="s">
        <v>43</v>
      </c>
      <c r="D14" s="29">
        <v>1</v>
      </c>
      <c r="E14" s="29">
        <v>2</v>
      </c>
    </row>
    <row r="15" spans="1:5" x14ac:dyDescent="0.25">
      <c r="A15" s="26">
        <v>2</v>
      </c>
      <c r="B15" s="25" t="s">
        <v>9</v>
      </c>
      <c r="C15" s="25" t="s">
        <v>43</v>
      </c>
      <c r="D15" s="26">
        <v>1</v>
      </c>
      <c r="E15" s="26">
        <v>2</v>
      </c>
    </row>
    <row r="16" spans="1:5" x14ac:dyDescent="0.25">
      <c r="A16" s="29">
        <v>1</v>
      </c>
      <c r="B16" s="5" t="s">
        <v>11</v>
      </c>
      <c r="C16" s="5" t="s">
        <v>43</v>
      </c>
      <c r="D16" s="29">
        <v>1</v>
      </c>
      <c r="E16" s="29">
        <v>2</v>
      </c>
    </row>
    <row r="17" spans="1:5" x14ac:dyDescent="0.25">
      <c r="A17" s="26">
        <v>0</v>
      </c>
      <c r="B17" s="25" t="s">
        <v>49</v>
      </c>
      <c r="C17" s="25" t="s">
        <v>43</v>
      </c>
      <c r="D17" s="26">
        <v>0</v>
      </c>
      <c r="E17" s="26"/>
    </row>
    <row r="19" spans="1:5" x14ac:dyDescent="0.25">
      <c r="B19" s="9" t="s">
        <v>13</v>
      </c>
    </row>
    <row r="20" spans="1:5" ht="60" x14ac:dyDescent="0.25">
      <c r="B20" s="12" t="s">
        <v>282</v>
      </c>
    </row>
    <row r="21" spans="1:5" x14ac:dyDescent="0.25">
      <c r="B21" t="s">
        <v>319</v>
      </c>
    </row>
    <row r="22" spans="1:5" ht="75" x14ac:dyDescent="0.25">
      <c r="B22" s="12" t="s">
        <v>280</v>
      </c>
    </row>
    <row r="23" spans="1:5" ht="60" x14ac:dyDescent="0.25">
      <c r="B23" s="12" t="s">
        <v>281</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E38"/>
  <sheetViews>
    <sheetView workbookViewId="0">
      <selection activeCell="A6" sqref="A6"/>
    </sheetView>
  </sheetViews>
  <sheetFormatPr defaultRowHeight="15" x14ac:dyDescent="0.25"/>
  <cols>
    <col min="1" max="1" width="11.140625" style="1" customWidth="1"/>
    <col min="2" max="2" width="117.85546875" customWidth="1"/>
    <col min="3" max="3" width="12.5703125" customWidth="1"/>
    <col min="4" max="4" width="13.140625" customWidth="1"/>
    <col min="5" max="5" width="7.85546875" customWidth="1"/>
  </cols>
  <sheetData>
    <row r="2" spans="1:5" ht="15" customHeight="1" x14ac:dyDescent="0.25">
      <c r="A2" s="21" t="s">
        <v>0</v>
      </c>
      <c r="B2" s="21" t="s">
        <v>1</v>
      </c>
      <c r="C2" s="21" t="s">
        <v>45</v>
      </c>
      <c r="D2" s="19" t="s">
        <v>46</v>
      </c>
      <c r="E2" s="19" t="s">
        <v>47</v>
      </c>
    </row>
    <row r="3" spans="1:5" ht="15" customHeight="1" x14ac:dyDescent="0.25">
      <c r="A3" s="23">
        <v>31</v>
      </c>
      <c r="B3" s="24" t="s">
        <v>145</v>
      </c>
      <c r="C3" s="25" t="s">
        <v>59</v>
      </c>
      <c r="D3" s="26">
        <v>0</v>
      </c>
      <c r="E3" s="26"/>
    </row>
    <row r="4" spans="1:5" ht="15" customHeight="1" x14ac:dyDescent="0.25">
      <c r="A4" s="52">
        <v>30</v>
      </c>
      <c r="B4" s="2" t="s">
        <v>91</v>
      </c>
      <c r="C4" s="5"/>
      <c r="D4" s="29"/>
      <c r="E4" s="29"/>
    </row>
    <row r="5" spans="1:5" ht="15" customHeight="1" x14ac:dyDescent="0.25">
      <c r="A5" s="23" t="s">
        <v>164</v>
      </c>
      <c r="B5" s="24" t="s">
        <v>165</v>
      </c>
      <c r="C5" s="25" t="s">
        <v>59</v>
      </c>
      <c r="D5" s="26">
        <v>0</v>
      </c>
      <c r="E5" s="26"/>
    </row>
    <row r="6" spans="1:5" ht="15" customHeight="1" x14ac:dyDescent="0.25">
      <c r="A6" s="52">
        <v>24</v>
      </c>
      <c r="B6" s="10" t="s">
        <v>146</v>
      </c>
      <c r="C6" s="5" t="s">
        <v>59</v>
      </c>
      <c r="D6" s="29">
        <v>0</v>
      </c>
      <c r="E6" s="33">
        <v>5</v>
      </c>
    </row>
    <row r="7" spans="1:5" ht="15" customHeight="1" x14ac:dyDescent="0.25">
      <c r="A7" s="23">
        <v>23</v>
      </c>
      <c r="B7" s="24" t="s">
        <v>106</v>
      </c>
      <c r="C7" s="25" t="s">
        <v>59</v>
      </c>
      <c r="D7" s="26">
        <v>0</v>
      </c>
      <c r="E7" s="26"/>
    </row>
    <row r="8" spans="1:5" ht="64.5" customHeight="1" x14ac:dyDescent="0.25">
      <c r="A8" s="52" t="s">
        <v>154</v>
      </c>
      <c r="B8" s="10" t="s">
        <v>320</v>
      </c>
      <c r="C8" s="5" t="s">
        <v>59</v>
      </c>
      <c r="D8" s="32" t="s">
        <v>105</v>
      </c>
      <c r="E8" s="29"/>
    </row>
    <row r="9" spans="1:5" ht="15" customHeight="1" x14ac:dyDescent="0.25">
      <c r="A9" s="23">
        <v>20</v>
      </c>
      <c r="B9" s="24" t="s">
        <v>109</v>
      </c>
      <c r="C9" s="25" t="s">
        <v>59</v>
      </c>
      <c r="D9" s="26">
        <v>0</v>
      </c>
      <c r="E9" s="26">
        <v>4</v>
      </c>
    </row>
    <row r="10" spans="1:5" ht="15" customHeight="1" x14ac:dyDescent="0.25">
      <c r="A10" s="52">
        <v>19</v>
      </c>
      <c r="B10" s="10" t="s">
        <v>313</v>
      </c>
      <c r="C10" s="5" t="s">
        <v>59</v>
      </c>
      <c r="D10" s="29">
        <v>0</v>
      </c>
      <c r="E10" s="29">
        <v>3</v>
      </c>
    </row>
    <row r="11" spans="1:5" ht="15" customHeight="1" x14ac:dyDescent="0.25">
      <c r="A11" s="23">
        <v>18</v>
      </c>
      <c r="B11" s="24" t="s">
        <v>314</v>
      </c>
      <c r="C11" s="25" t="s">
        <v>59</v>
      </c>
      <c r="D11" s="26">
        <v>0</v>
      </c>
      <c r="E11" s="26">
        <v>3</v>
      </c>
    </row>
    <row r="12" spans="1:5" ht="15" customHeight="1" x14ac:dyDescent="0.25">
      <c r="A12" s="52">
        <v>17</v>
      </c>
      <c r="B12" s="10" t="s">
        <v>315</v>
      </c>
      <c r="C12" s="5" t="s">
        <v>59</v>
      </c>
      <c r="D12" s="29">
        <v>0</v>
      </c>
      <c r="E12" s="29">
        <v>3</v>
      </c>
    </row>
    <row r="13" spans="1:5" ht="15" customHeight="1" x14ac:dyDescent="0.25">
      <c r="A13" s="23">
        <v>16</v>
      </c>
      <c r="B13" s="24" t="s">
        <v>316</v>
      </c>
      <c r="C13" s="25" t="s">
        <v>59</v>
      </c>
      <c r="D13" s="26">
        <v>0</v>
      </c>
      <c r="E13" s="26">
        <v>3</v>
      </c>
    </row>
    <row r="14" spans="1:5" ht="15" customHeight="1" x14ac:dyDescent="0.25">
      <c r="A14" s="52">
        <v>15</v>
      </c>
      <c r="B14" s="10" t="s">
        <v>64</v>
      </c>
      <c r="C14" s="5" t="s">
        <v>59</v>
      </c>
      <c r="D14" s="29">
        <v>0</v>
      </c>
      <c r="E14" s="29"/>
    </row>
    <row r="15" spans="1:5" ht="15" customHeight="1" x14ac:dyDescent="0.25">
      <c r="A15" s="23">
        <v>14</v>
      </c>
      <c r="B15" s="24" t="s">
        <v>65</v>
      </c>
      <c r="C15" s="25" t="s">
        <v>59</v>
      </c>
      <c r="D15" s="26">
        <v>0</v>
      </c>
      <c r="E15" s="26"/>
    </row>
    <row r="16" spans="1:5" ht="15" customHeight="1" x14ac:dyDescent="0.25">
      <c r="A16" s="52">
        <v>13</v>
      </c>
      <c r="B16" s="10" t="s">
        <v>66</v>
      </c>
      <c r="C16" s="5" t="s">
        <v>59</v>
      </c>
      <c r="D16" s="29">
        <v>0</v>
      </c>
      <c r="E16" s="29"/>
    </row>
    <row r="17" spans="1:5" ht="15" customHeight="1" x14ac:dyDescent="0.25">
      <c r="A17" s="23">
        <v>12</v>
      </c>
      <c r="B17" s="24" t="s">
        <v>87</v>
      </c>
      <c r="C17" s="25" t="s">
        <v>59</v>
      </c>
      <c r="D17" s="26">
        <v>0</v>
      </c>
      <c r="E17" s="26"/>
    </row>
    <row r="18" spans="1:5" ht="15" customHeight="1" x14ac:dyDescent="0.25">
      <c r="A18" s="52">
        <v>11</v>
      </c>
      <c r="B18" s="10" t="s">
        <v>151</v>
      </c>
      <c r="C18" s="5" t="s">
        <v>59</v>
      </c>
      <c r="D18" s="29">
        <v>0</v>
      </c>
      <c r="E18" s="29">
        <v>6</v>
      </c>
    </row>
    <row r="19" spans="1:5" ht="15" customHeight="1" x14ac:dyDescent="0.25">
      <c r="A19" s="23">
        <v>10</v>
      </c>
      <c r="B19" s="24" t="s">
        <v>152</v>
      </c>
      <c r="C19" s="25" t="s">
        <v>59</v>
      </c>
      <c r="D19" s="26">
        <v>0</v>
      </c>
      <c r="E19" s="26">
        <v>6</v>
      </c>
    </row>
    <row r="20" spans="1:5" ht="15" customHeight="1" x14ac:dyDescent="0.25">
      <c r="A20" s="52">
        <v>9</v>
      </c>
      <c r="B20" s="10" t="s">
        <v>153</v>
      </c>
      <c r="C20" s="5" t="s">
        <v>59</v>
      </c>
      <c r="D20" s="29">
        <v>0</v>
      </c>
      <c r="E20" s="29">
        <v>6</v>
      </c>
    </row>
    <row r="21" spans="1:5" ht="15" customHeight="1" x14ac:dyDescent="0.25">
      <c r="A21" s="23">
        <v>8</v>
      </c>
      <c r="B21" s="24" t="s">
        <v>144</v>
      </c>
      <c r="C21" s="25" t="s">
        <v>59</v>
      </c>
      <c r="D21" s="26">
        <v>0</v>
      </c>
      <c r="E21" s="26">
        <v>6</v>
      </c>
    </row>
    <row r="22" spans="1:5" ht="15" customHeight="1" x14ac:dyDescent="0.25">
      <c r="A22" s="52">
        <v>7</v>
      </c>
      <c r="B22" s="10" t="s">
        <v>88</v>
      </c>
      <c r="C22" s="5" t="s">
        <v>59</v>
      </c>
      <c r="D22" s="29">
        <v>0</v>
      </c>
      <c r="E22" s="29">
        <v>1</v>
      </c>
    </row>
    <row r="23" spans="1:5" ht="15" customHeight="1" x14ac:dyDescent="0.25">
      <c r="A23" s="23">
        <v>6</v>
      </c>
      <c r="B23" s="24" t="s">
        <v>89</v>
      </c>
      <c r="C23" s="25" t="s">
        <v>59</v>
      </c>
      <c r="D23" s="26">
        <v>0</v>
      </c>
      <c r="E23" s="26">
        <v>1</v>
      </c>
    </row>
    <row r="24" spans="1:5" ht="15" customHeight="1" x14ac:dyDescent="0.25">
      <c r="A24" s="52">
        <v>5</v>
      </c>
      <c r="B24" s="10" t="s">
        <v>90</v>
      </c>
      <c r="C24" s="5" t="s">
        <v>59</v>
      </c>
      <c r="D24" s="29">
        <v>0</v>
      </c>
      <c r="E24" s="29">
        <v>1</v>
      </c>
    </row>
    <row r="25" spans="1:5" ht="15" customHeight="1" x14ac:dyDescent="0.25">
      <c r="A25" s="23">
        <v>4</v>
      </c>
      <c r="B25" s="24" t="s">
        <v>92</v>
      </c>
      <c r="C25" s="25" t="s">
        <v>59</v>
      </c>
      <c r="D25" s="26">
        <v>0</v>
      </c>
      <c r="E25" s="26">
        <v>1</v>
      </c>
    </row>
    <row r="26" spans="1:5" ht="15" customHeight="1" x14ac:dyDescent="0.25">
      <c r="A26" s="52">
        <v>3</v>
      </c>
      <c r="B26" s="10" t="s">
        <v>61</v>
      </c>
      <c r="C26" s="5" t="s">
        <v>59</v>
      </c>
      <c r="D26" s="29">
        <v>0</v>
      </c>
      <c r="E26" s="29">
        <v>2</v>
      </c>
    </row>
    <row r="27" spans="1:5" ht="15" customHeight="1" x14ac:dyDescent="0.25">
      <c r="A27" s="23">
        <v>2</v>
      </c>
      <c r="B27" s="24" t="s">
        <v>62</v>
      </c>
      <c r="C27" s="25" t="s">
        <v>59</v>
      </c>
      <c r="D27" s="26">
        <v>0</v>
      </c>
      <c r="E27" s="26">
        <v>2</v>
      </c>
    </row>
    <row r="28" spans="1:5" ht="15" customHeight="1" x14ac:dyDescent="0.25">
      <c r="A28" s="52">
        <v>1</v>
      </c>
      <c r="B28" s="10" t="s">
        <v>63</v>
      </c>
      <c r="C28" s="5" t="s">
        <v>59</v>
      </c>
      <c r="D28" s="29">
        <v>0</v>
      </c>
      <c r="E28" s="29">
        <v>2</v>
      </c>
    </row>
    <row r="29" spans="1:5" ht="15" customHeight="1" x14ac:dyDescent="0.25">
      <c r="A29" s="23">
        <v>0</v>
      </c>
      <c r="B29" s="24" t="s">
        <v>86</v>
      </c>
      <c r="C29" s="25" t="s">
        <v>59</v>
      </c>
      <c r="D29" s="26">
        <v>0</v>
      </c>
      <c r="E29" s="26">
        <v>2</v>
      </c>
    </row>
    <row r="30" spans="1:5" ht="15" customHeight="1" x14ac:dyDescent="0.25">
      <c r="A30" s="31"/>
      <c r="B30" s="8"/>
      <c r="C30" s="7"/>
    </row>
    <row r="32" spans="1:5" x14ac:dyDescent="0.25">
      <c r="B32" s="17" t="s">
        <v>13</v>
      </c>
    </row>
    <row r="33" spans="2:2" ht="25.5" x14ac:dyDescent="0.25">
      <c r="B33" s="8" t="s">
        <v>107</v>
      </c>
    </row>
    <row r="34" spans="2:2" ht="25.5" x14ac:dyDescent="0.25">
      <c r="B34" s="8" t="s">
        <v>60</v>
      </c>
    </row>
    <row r="35" spans="2:2" ht="25.5" x14ac:dyDescent="0.25">
      <c r="B35" s="8" t="s">
        <v>147</v>
      </c>
    </row>
    <row r="36" spans="2:2" ht="51" x14ac:dyDescent="0.25">
      <c r="B36" s="8" t="s">
        <v>148</v>
      </c>
    </row>
    <row r="37" spans="2:2" ht="25.5" x14ac:dyDescent="0.25">
      <c r="B37" s="8" t="s">
        <v>149</v>
      </c>
    </row>
    <row r="38" spans="2:2" ht="76.5" x14ac:dyDescent="0.25">
      <c r="B38" s="8" t="s">
        <v>150</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5482D-ACB9-45AE-9C27-657FB1DB8353}">
  <dimension ref="A2:E14"/>
  <sheetViews>
    <sheetView workbookViewId="0">
      <selection activeCell="C6" sqref="C6"/>
    </sheetView>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21" t="s">
        <v>0</v>
      </c>
      <c r="B2" s="21" t="s">
        <v>1</v>
      </c>
      <c r="C2" s="21" t="s">
        <v>45</v>
      </c>
      <c r="D2" s="19" t="s">
        <v>46</v>
      </c>
      <c r="E2" s="19" t="s">
        <v>47</v>
      </c>
    </row>
    <row r="3" spans="1:5" x14ac:dyDescent="0.25">
      <c r="A3" s="26" t="s">
        <v>4</v>
      </c>
      <c r="B3" s="28" t="s">
        <v>132</v>
      </c>
      <c r="C3" s="25" t="s">
        <v>59</v>
      </c>
      <c r="D3" s="26" t="s">
        <v>70</v>
      </c>
      <c r="E3" s="26" t="s">
        <v>129</v>
      </c>
    </row>
    <row r="6" spans="1:5" x14ac:dyDescent="0.25">
      <c r="B6" s="13" t="s">
        <v>13</v>
      </c>
    </row>
    <row r="7" spans="1:5" ht="30" x14ac:dyDescent="0.25">
      <c r="B7" s="12" t="s">
        <v>135</v>
      </c>
    </row>
    <row r="8" spans="1:5" ht="36" customHeight="1" x14ac:dyDescent="0.25">
      <c r="B8" s="12"/>
    </row>
    <row r="9" spans="1:5" x14ac:dyDescent="0.25">
      <c r="B9" t="s">
        <v>137</v>
      </c>
    </row>
    <row r="10" spans="1:5" ht="33.75" customHeight="1" x14ac:dyDescent="0.25"/>
    <row r="11" spans="1:5" ht="30" x14ac:dyDescent="0.25">
      <c r="B11" s="12" t="s">
        <v>133</v>
      </c>
    </row>
    <row r="12" spans="1:5" x14ac:dyDescent="0.25">
      <c r="B12" s="12" t="s">
        <v>127</v>
      </c>
    </row>
    <row r="14" spans="1:5" ht="166.5" customHeight="1" x14ac:dyDescent="0.25"/>
  </sheetData>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37E7B-A1B0-494F-9CB9-3EBE05669CEA}">
  <dimension ref="A2:E14"/>
  <sheetViews>
    <sheetView topLeftCell="A4" workbookViewId="0">
      <selection activeCell="D12" sqref="D12"/>
    </sheetView>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21" t="s">
        <v>0</v>
      </c>
      <c r="B2" s="21" t="s">
        <v>1</v>
      </c>
      <c r="C2" s="21" t="s">
        <v>45</v>
      </c>
      <c r="D2" s="19" t="s">
        <v>46</v>
      </c>
      <c r="E2" s="19" t="s">
        <v>47</v>
      </c>
    </row>
    <row r="3" spans="1:5" x14ac:dyDescent="0.25">
      <c r="A3" s="26" t="s">
        <v>4</v>
      </c>
      <c r="B3" s="28" t="s">
        <v>134</v>
      </c>
      <c r="C3" s="25" t="s">
        <v>59</v>
      </c>
      <c r="D3" s="26" t="s">
        <v>70</v>
      </c>
      <c r="E3" s="26" t="s">
        <v>129</v>
      </c>
    </row>
    <row r="6" spans="1:5" x14ac:dyDescent="0.25">
      <c r="B6" s="13" t="s">
        <v>13</v>
      </c>
    </row>
    <row r="7" spans="1:5" ht="75" x14ac:dyDescent="0.25">
      <c r="B7" s="12" t="s">
        <v>138</v>
      </c>
    </row>
    <row r="8" spans="1:5" ht="81" customHeight="1" x14ac:dyDescent="0.25">
      <c r="B8" s="12"/>
    </row>
    <row r="9" spans="1:5" x14ac:dyDescent="0.25">
      <c r="B9" t="s">
        <v>136</v>
      </c>
    </row>
    <row r="10" spans="1:5" ht="33.75" customHeight="1" x14ac:dyDescent="0.25"/>
    <row r="11" spans="1:5" ht="45" x14ac:dyDescent="0.25">
      <c r="B11" s="12" t="s">
        <v>139</v>
      </c>
    </row>
    <row r="12" spans="1:5" x14ac:dyDescent="0.25">
      <c r="B12" s="12" t="s">
        <v>127</v>
      </c>
    </row>
    <row r="14" spans="1:5" ht="166.5" customHeight="1" x14ac:dyDescent="0.25"/>
  </sheetData>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E13"/>
  <sheetViews>
    <sheetView workbookViewId="0">
      <selection activeCell="B8" sqref="B8"/>
    </sheetView>
  </sheetViews>
  <sheetFormatPr defaultRowHeight="15" x14ac:dyDescent="0.25"/>
  <cols>
    <col min="1" max="1" width="11.140625" style="1" customWidth="1"/>
    <col min="2" max="2" width="79.140625" customWidth="1"/>
    <col min="3" max="3" width="14" customWidth="1"/>
    <col min="4" max="4" width="11.42578125" customWidth="1"/>
    <col min="5" max="5" width="7.7109375" customWidth="1"/>
  </cols>
  <sheetData>
    <row r="2" spans="1:5" x14ac:dyDescent="0.25">
      <c r="A2" s="21" t="s">
        <v>0</v>
      </c>
      <c r="B2" s="21" t="s">
        <v>1</v>
      </c>
      <c r="C2" s="21" t="s">
        <v>45</v>
      </c>
      <c r="D2" s="19" t="s">
        <v>46</v>
      </c>
      <c r="E2" s="19" t="s">
        <v>47</v>
      </c>
    </row>
    <row r="3" spans="1:5" x14ac:dyDescent="0.25">
      <c r="A3" s="2" t="s">
        <v>6</v>
      </c>
      <c r="B3" s="2" t="s">
        <v>2</v>
      </c>
      <c r="C3" s="4"/>
      <c r="D3" s="15"/>
      <c r="E3" s="4"/>
    </row>
    <row r="4" spans="1:5" x14ac:dyDescent="0.25">
      <c r="A4" s="3" t="s">
        <v>5</v>
      </c>
      <c r="B4" s="4" t="s">
        <v>7</v>
      </c>
      <c r="C4" s="4" t="s">
        <v>59</v>
      </c>
      <c r="D4" s="15" t="s">
        <v>67</v>
      </c>
      <c r="E4" s="15">
        <v>1</v>
      </c>
    </row>
    <row r="5" spans="1:5" x14ac:dyDescent="0.25">
      <c r="A5" s="11"/>
      <c r="B5" s="6"/>
    </row>
    <row r="6" spans="1:5" x14ac:dyDescent="0.25">
      <c r="B6" s="9" t="s">
        <v>13</v>
      </c>
    </row>
    <row r="7" spans="1:5" ht="75" x14ac:dyDescent="0.25">
      <c r="B7" s="12" t="s">
        <v>110</v>
      </c>
    </row>
    <row r="8" spans="1:5" x14ac:dyDescent="0.25">
      <c r="B8" s="7"/>
    </row>
    <row r="9" spans="1:5" x14ac:dyDescent="0.25">
      <c r="B9" s="7"/>
    </row>
    <row r="10" spans="1:5" x14ac:dyDescent="0.25">
      <c r="B10" s="7"/>
    </row>
    <row r="11" spans="1:5" x14ac:dyDescent="0.25">
      <c r="B11" s="7"/>
    </row>
    <row r="12" spans="1:5" x14ac:dyDescent="0.25">
      <c r="B12" s="7"/>
    </row>
    <row r="13" spans="1:5" x14ac:dyDescent="0.25">
      <c r="B13" s="7"/>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E10"/>
  <sheetViews>
    <sheetView workbookViewId="0">
      <selection activeCell="B9" sqref="B9"/>
    </sheetView>
  </sheetViews>
  <sheetFormatPr defaultRowHeight="15" x14ac:dyDescent="0.25"/>
  <cols>
    <col min="1" max="1" width="11.140625" style="1" customWidth="1"/>
    <col min="2" max="2" width="92.5703125" customWidth="1"/>
    <col min="3" max="3" width="13.140625" customWidth="1"/>
    <col min="4" max="4" width="15.85546875" customWidth="1"/>
  </cols>
  <sheetData>
    <row r="2" spans="1:5" x14ac:dyDescent="0.25">
      <c r="A2" s="21" t="s">
        <v>0</v>
      </c>
      <c r="B2" s="21" t="s">
        <v>1</v>
      </c>
      <c r="C2" s="21" t="s">
        <v>45</v>
      </c>
      <c r="D2" s="19" t="s">
        <v>46</v>
      </c>
      <c r="E2" s="19" t="s">
        <v>47</v>
      </c>
    </row>
    <row r="3" spans="1:5" x14ac:dyDescent="0.25">
      <c r="A3" s="26" t="s">
        <v>4</v>
      </c>
      <c r="B3" s="28" t="s">
        <v>69</v>
      </c>
      <c r="C3" s="25" t="s">
        <v>71</v>
      </c>
      <c r="D3" s="26" t="s">
        <v>70</v>
      </c>
      <c r="E3" s="26">
        <v>1</v>
      </c>
    </row>
    <row r="6" spans="1:5" x14ac:dyDescent="0.25">
      <c r="B6" s="13" t="s">
        <v>13</v>
      </c>
    </row>
    <row r="7" spans="1:5" ht="33" customHeight="1" x14ac:dyDescent="0.25">
      <c r="B7" s="12" t="s">
        <v>131</v>
      </c>
    </row>
    <row r="8" spans="1:5" ht="42" customHeight="1" x14ac:dyDescent="0.25"/>
    <row r="10" spans="1:5" ht="16.5" customHeight="1" x14ac:dyDescent="0.25"/>
  </sheetData>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E12"/>
  <sheetViews>
    <sheetView workbookViewId="0"/>
  </sheetViews>
  <sheetFormatPr defaultRowHeight="15" x14ac:dyDescent="0.25"/>
  <cols>
    <col min="1" max="1" width="11.140625" style="1" customWidth="1"/>
    <col min="2" max="2" width="93.5703125" customWidth="1"/>
    <col min="3" max="3" width="13" customWidth="1"/>
    <col min="4" max="4" width="14.85546875" customWidth="1"/>
    <col min="5" max="5" width="10.5703125" customWidth="1"/>
  </cols>
  <sheetData>
    <row r="2" spans="1:5" x14ac:dyDescent="0.25">
      <c r="A2" s="21" t="s">
        <v>0</v>
      </c>
      <c r="B2" s="21" t="s">
        <v>1</v>
      </c>
      <c r="C2" s="21" t="s">
        <v>45</v>
      </c>
      <c r="D2" s="19" t="s">
        <v>46</v>
      </c>
      <c r="E2" s="19" t="s">
        <v>47</v>
      </c>
    </row>
    <row r="3" spans="1:5" x14ac:dyDescent="0.25">
      <c r="A3" s="26" t="s">
        <v>4</v>
      </c>
      <c r="B3" s="28" t="s">
        <v>68</v>
      </c>
      <c r="C3" s="25" t="s">
        <v>59</v>
      </c>
      <c r="D3" s="26" t="s">
        <v>130</v>
      </c>
      <c r="E3" s="26" t="s">
        <v>129</v>
      </c>
    </row>
    <row r="6" spans="1:5" x14ac:dyDescent="0.25">
      <c r="B6" s="13" t="s">
        <v>13</v>
      </c>
    </row>
    <row r="7" spans="1:5" ht="30" x14ac:dyDescent="0.25">
      <c r="B7" s="12" t="s">
        <v>125</v>
      </c>
    </row>
    <row r="8" spans="1:5" ht="51.75" customHeight="1" x14ac:dyDescent="0.25">
      <c r="B8" s="12"/>
    </row>
    <row r="9" spans="1:5" x14ac:dyDescent="0.25">
      <c r="B9" t="s">
        <v>124</v>
      </c>
    </row>
    <row r="10" spans="1:5" ht="39" customHeight="1" x14ac:dyDescent="0.25"/>
    <row r="11" spans="1:5" ht="75" x14ac:dyDescent="0.25">
      <c r="B11" s="12" t="s">
        <v>126</v>
      </c>
    </row>
    <row r="12" spans="1:5" x14ac:dyDescent="0.25">
      <c r="B12" s="12" t="s">
        <v>127</v>
      </c>
    </row>
  </sheetData>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5DA7D-1936-4AB2-93E0-A84B4AB930F5}">
  <dimension ref="A1:E14"/>
  <sheetViews>
    <sheetView workbookViewId="0">
      <selection activeCell="B19" sqref="B19"/>
    </sheetView>
  </sheetViews>
  <sheetFormatPr defaultRowHeight="15" x14ac:dyDescent="0.25"/>
  <cols>
    <col min="1" max="1" width="11.140625" style="1" customWidth="1"/>
    <col min="2" max="2" width="93.5703125" customWidth="1"/>
    <col min="3" max="3" width="13" customWidth="1"/>
    <col min="4" max="4" width="14.85546875" customWidth="1"/>
    <col min="5" max="5" width="12.85546875" customWidth="1"/>
  </cols>
  <sheetData>
    <row r="1" spans="1:5" x14ac:dyDescent="0.25">
      <c r="A1"/>
    </row>
    <row r="2" spans="1:5" x14ac:dyDescent="0.25">
      <c r="A2" s="21" t="s">
        <v>0</v>
      </c>
      <c r="B2" s="21" t="s">
        <v>1</v>
      </c>
      <c r="C2" s="21" t="s">
        <v>45</v>
      </c>
      <c r="D2" s="19" t="s">
        <v>46</v>
      </c>
      <c r="E2" s="19" t="s">
        <v>47</v>
      </c>
    </row>
    <row r="3" spans="1:5" x14ac:dyDescent="0.25">
      <c r="A3" s="26" t="s">
        <v>4</v>
      </c>
      <c r="B3" s="28" t="s">
        <v>111</v>
      </c>
      <c r="C3" s="25" t="s">
        <v>59</v>
      </c>
      <c r="D3" s="26" t="s">
        <v>70</v>
      </c>
      <c r="E3" s="26" t="s">
        <v>116</v>
      </c>
    </row>
    <row r="6" spans="1:5" x14ac:dyDescent="0.25">
      <c r="B6" s="13" t="s">
        <v>13</v>
      </c>
    </row>
    <row r="7" spans="1:5" ht="45" x14ac:dyDescent="0.25">
      <c r="B7" s="12" t="s">
        <v>112</v>
      </c>
    </row>
    <row r="8" spans="1:5" x14ac:dyDescent="0.25">
      <c r="B8" t="s">
        <v>25</v>
      </c>
    </row>
    <row r="9" spans="1:5" ht="46.5" customHeight="1" x14ac:dyDescent="0.25"/>
    <row r="10" spans="1:5" ht="15" customHeight="1" x14ac:dyDescent="0.25">
      <c r="B10" t="s">
        <v>113</v>
      </c>
    </row>
    <row r="11" spans="1:5" ht="46.5" customHeight="1" x14ac:dyDescent="0.25"/>
    <row r="12" spans="1:5" ht="60" x14ac:dyDescent="0.25">
      <c r="B12" s="12" t="s">
        <v>115</v>
      </c>
    </row>
    <row r="13" spans="1:5" x14ac:dyDescent="0.25">
      <c r="B13" t="s">
        <v>114</v>
      </c>
    </row>
    <row r="14" spans="1:5" x14ac:dyDescent="0.25">
      <c r="B14" t="s">
        <v>128</v>
      </c>
    </row>
  </sheetData>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F0731-6760-4737-87D5-5FE76471E867}">
  <dimension ref="A2:E10"/>
  <sheetViews>
    <sheetView workbookViewId="0">
      <selection activeCell="B24" sqref="B24"/>
    </sheetView>
  </sheetViews>
  <sheetFormatPr defaultRowHeight="15" x14ac:dyDescent="0.25"/>
  <cols>
    <col min="1" max="1" width="11.140625" style="1" customWidth="1"/>
    <col min="2" max="2" width="92.5703125" customWidth="1"/>
    <col min="3" max="3" width="13.140625" customWidth="1"/>
    <col min="4" max="4" width="15.85546875" customWidth="1"/>
  </cols>
  <sheetData>
    <row r="2" spans="1:5" x14ac:dyDescent="0.25">
      <c r="A2" s="21" t="s">
        <v>0</v>
      </c>
      <c r="B2" s="21" t="s">
        <v>1</v>
      </c>
      <c r="C2" s="21" t="s">
        <v>45</v>
      </c>
      <c r="D2" s="19" t="s">
        <v>46</v>
      </c>
      <c r="E2" s="19" t="s">
        <v>47</v>
      </c>
    </row>
    <row r="3" spans="1:5" x14ac:dyDescent="0.25">
      <c r="A3" s="37" t="s">
        <v>12</v>
      </c>
      <c r="B3" s="25" t="s">
        <v>141</v>
      </c>
      <c r="C3" s="25" t="s">
        <v>59</v>
      </c>
      <c r="D3" s="26" t="s">
        <v>267</v>
      </c>
      <c r="E3" s="25">
        <v>2</v>
      </c>
    </row>
    <row r="4" spans="1:5" x14ac:dyDescent="0.25">
      <c r="A4" s="3" t="s">
        <v>8</v>
      </c>
      <c r="B4" s="4" t="s">
        <v>140</v>
      </c>
      <c r="C4" s="4" t="s">
        <v>59</v>
      </c>
      <c r="D4" s="15" t="s">
        <v>268</v>
      </c>
      <c r="E4" s="4">
        <v>1</v>
      </c>
    </row>
    <row r="6" spans="1:5" x14ac:dyDescent="0.25">
      <c r="B6" s="13" t="s">
        <v>13</v>
      </c>
    </row>
    <row r="7" spans="1:5" ht="15" customHeight="1" x14ac:dyDescent="0.25">
      <c r="B7" s="12" t="s">
        <v>142</v>
      </c>
    </row>
    <row r="8" spans="1:5" ht="30" x14ac:dyDescent="0.25">
      <c r="B8" s="12" t="s">
        <v>143</v>
      </c>
    </row>
    <row r="10" spans="1:5" ht="16.5" customHeight="1" x14ac:dyDescent="0.25"/>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5099F-B461-49A9-856E-9D7B3D3DA4F6}">
  <dimension ref="A2:E13"/>
  <sheetViews>
    <sheetView workbookViewId="0">
      <selection activeCell="A7" sqref="A7"/>
    </sheetView>
  </sheetViews>
  <sheetFormatPr defaultRowHeight="15" x14ac:dyDescent="0.25"/>
  <cols>
    <col min="1" max="1" width="11.140625" style="1" customWidth="1"/>
    <col min="2" max="2" width="94" customWidth="1"/>
    <col min="3" max="3" width="13.140625" customWidth="1"/>
    <col min="4" max="4" width="20.140625" customWidth="1"/>
  </cols>
  <sheetData>
    <row r="2" spans="1:5" x14ac:dyDescent="0.25">
      <c r="A2" s="21" t="s">
        <v>0</v>
      </c>
      <c r="B2" s="21" t="s">
        <v>1</v>
      </c>
      <c r="C2" s="21" t="s">
        <v>45</v>
      </c>
      <c r="D2" s="19" t="s">
        <v>46</v>
      </c>
      <c r="E2" s="19" t="s">
        <v>47</v>
      </c>
    </row>
    <row r="3" spans="1:5" x14ac:dyDescent="0.25">
      <c r="A3" s="26" t="s">
        <v>23</v>
      </c>
      <c r="B3" s="25" t="s">
        <v>296</v>
      </c>
      <c r="C3" s="25" t="s">
        <v>59</v>
      </c>
      <c r="D3" s="26" t="s">
        <v>293</v>
      </c>
      <c r="E3" s="26">
        <v>3</v>
      </c>
    </row>
    <row r="4" spans="1:5" x14ac:dyDescent="0.25">
      <c r="A4" s="29" t="s">
        <v>295</v>
      </c>
      <c r="B4" s="5" t="s">
        <v>298</v>
      </c>
      <c r="C4" s="5" t="s">
        <v>59</v>
      </c>
      <c r="D4" s="29" t="s">
        <v>310</v>
      </c>
      <c r="E4" s="29">
        <v>2</v>
      </c>
    </row>
    <row r="5" spans="1:5" x14ac:dyDescent="0.25">
      <c r="A5" s="26" t="s">
        <v>294</v>
      </c>
      <c r="B5" s="25" t="s">
        <v>292</v>
      </c>
      <c r="C5" s="25" t="s">
        <v>59</v>
      </c>
      <c r="D5" s="26" t="s">
        <v>299</v>
      </c>
      <c r="E5" s="26">
        <v>1</v>
      </c>
    </row>
    <row r="6" spans="1:5" x14ac:dyDescent="0.25">
      <c r="A6" s="15" t="s">
        <v>290</v>
      </c>
      <c r="B6" s="4" t="s">
        <v>291</v>
      </c>
      <c r="C6" s="4" t="s">
        <v>59</v>
      </c>
      <c r="D6" s="15" t="s">
        <v>305</v>
      </c>
      <c r="E6" s="15">
        <v>1</v>
      </c>
    </row>
    <row r="7" spans="1:5" x14ac:dyDescent="0.25">
      <c r="A7" s="11"/>
      <c r="B7" s="6"/>
      <c r="C7" s="6"/>
      <c r="D7" s="38"/>
      <c r="E7" s="6"/>
    </row>
    <row r="9" spans="1:5" x14ac:dyDescent="0.25">
      <c r="B9" s="13" t="s">
        <v>13</v>
      </c>
    </row>
    <row r="10" spans="1:5" ht="15" customHeight="1" x14ac:dyDescent="0.25">
      <c r="B10" s="12" t="s">
        <v>297</v>
      </c>
    </row>
    <row r="11" spans="1:5" ht="51.75" customHeight="1" x14ac:dyDescent="0.25">
      <c r="B11" s="12" t="s">
        <v>309</v>
      </c>
    </row>
    <row r="12" spans="1:5" x14ac:dyDescent="0.25">
      <c r="B12" t="s">
        <v>300</v>
      </c>
    </row>
    <row r="13" spans="1:5" ht="16.5" customHeight="1" x14ac:dyDescent="0.25"/>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8BBCA-D86E-48B2-A071-4643D5016353}">
  <dimension ref="A2:E13"/>
  <sheetViews>
    <sheetView workbookViewId="0">
      <selection activeCell="E7" sqref="E7"/>
    </sheetView>
  </sheetViews>
  <sheetFormatPr defaultRowHeight="15" x14ac:dyDescent="0.25"/>
  <cols>
    <col min="1" max="1" width="11.140625" style="1" customWidth="1"/>
    <col min="2" max="2" width="94" customWidth="1"/>
    <col min="3" max="3" width="13.140625" customWidth="1"/>
    <col min="4" max="4" width="20.140625" customWidth="1"/>
  </cols>
  <sheetData>
    <row r="2" spans="1:5" x14ac:dyDescent="0.25">
      <c r="A2" s="21" t="s">
        <v>0</v>
      </c>
      <c r="B2" s="21" t="s">
        <v>1</v>
      </c>
      <c r="C2" s="21" t="s">
        <v>45</v>
      </c>
      <c r="D2" s="19" t="s">
        <v>46</v>
      </c>
      <c r="E2" s="19" t="s">
        <v>47</v>
      </c>
    </row>
    <row r="3" spans="1:5" x14ac:dyDescent="0.25">
      <c r="A3" s="26" t="s">
        <v>301</v>
      </c>
      <c r="B3" s="25" t="s">
        <v>302</v>
      </c>
      <c r="C3" s="25" t="s">
        <v>59</v>
      </c>
      <c r="D3" s="26" t="s">
        <v>305</v>
      </c>
      <c r="E3" s="26">
        <v>1</v>
      </c>
    </row>
    <row r="4" spans="1:5" x14ac:dyDescent="0.25">
      <c r="A4" s="29" t="s">
        <v>304</v>
      </c>
      <c r="B4" s="5" t="s">
        <v>165</v>
      </c>
      <c r="C4" s="5"/>
      <c r="D4" s="29" t="s">
        <v>44</v>
      </c>
      <c r="E4" s="29"/>
    </row>
    <row r="5" spans="1:5" x14ac:dyDescent="0.25">
      <c r="A5" s="26" t="s">
        <v>308</v>
      </c>
      <c r="B5" s="25" t="s">
        <v>303</v>
      </c>
      <c r="C5" s="25" t="s">
        <v>59</v>
      </c>
      <c r="D5" s="26" t="s">
        <v>312</v>
      </c>
      <c r="E5" s="26">
        <v>2</v>
      </c>
    </row>
    <row r="6" spans="1:5" x14ac:dyDescent="0.25">
      <c r="A6" s="15" t="s">
        <v>307</v>
      </c>
      <c r="B6" s="4" t="s">
        <v>306</v>
      </c>
      <c r="C6" s="4" t="s">
        <v>59</v>
      </c>
      <c r="D6" s="15" t="s">
        <v>312</v>
      </c>
      <c r="E6" s="15">
        <v>2</v>
      </c>
    </row>
    <row r="7" spans="1:5" x14ac:dyDescent="0.25">
      <c r="A7" s="11"/>
      <c r="B7" s="6"/>
      <c r="C7" s="6"/>
      <c r="D7" s="38"/>
      <c r="E7" s="6"/>
    </row>
    <row r="9" spans="1:5" x14ac:dyDescent="0.25">
      <c r="B9" s="13" t="s">
        <v>13</v>
      </c>
    </row>
    <row r="10" spans="1:5" ht="15" customHeight="1" x14ac:dyDescent="0.25">
      <c r="B10" s="12" t="s">
        <v>297</v>
      </c>
    </row>
    <row r="11" spans="1:5" ht="51.75" customHeight="1" x14ac:dyDescent="0.25">
      <c r="B11" s="12" t="s">
        <v>311</v>
      </c>
    </row>
    <row r="13" spans="1:5" ht="16.5" customHeight="1" x14ac:dyDescent="0.25"/>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83A69-83AB-4E5A-A62A-C8C4223B902A}">
  <dimension ref="A2:E11"/>
  <sheetViews>
    <sheetView workbookViewId="0">
      <selection activeCell="B14" sqref="B14"/>
    </sheetView>
  </sheetViews>
  <sheetFormatPr defaultRowHeight="15" x14ac:dyDescent="0.25"/>
  <cols>
    <col min="1" max="1" width="11.140625" style="1" customWidth="1"/>
    <col min="2" max="2" width="92.5703125" customWidth="1"/>
    <col min="3" max="3" width="13.140625" customWidth="1"/>
    <col min="4" max="4" width="15.85546875" customWidth="1"/>
  </cols>
  <sheetData>
    <row r="2" spans="1:5" x14ac:dyDescent="0.25">
      <c r="A2" s="21" t="s">
        <v>0</v>
      </c>
      <c r="B2" s="21" t="s">
        <v>1</v>
      </c>
      <c r="C2" s="21" t="s">
        <v>45</v>
      </c>
      <c r="D2" s="19" t="s">
        <v>46</v>
      </c>
      <c r="E2" s="19" t="s">
        <v>47</v>
      </c>
    </row>
    <row r="3" spans="1:5" x14ac:dyDescent="0.25">
      <c r="A3" s="37" t="s">
        <v>12</v>
      </c>
      <c r="B3" s="25" t="s">
        <v>2</v>
      </c>
      <c r="C3" s="25"/>
      <c r="D3" s="26" t="s">
        <v>44</v>
      </c>
      <c r="E3" s="25"/>
    </row>
    <row r="4" spans="1:5" x14ac:dyDescent="0.25">
      <c r="A4" s="3" t="s">
        <v>8</v>
      </c>
      <c r="B4" s="4" t="s">
        <v>283</v>
      </c>
      <c r="C4" s="4" t="s">
        <v>35</v>
      </c>
      <c r="D4" s="15" t="s">
        <v>44</v>
      </c>
      <c r="E4" s="15">
        <v>1</v>
      </c>
    </row>
    <row r="6" spans="1:5" x14ac:dyDescent="0.25">
      <c r="B6" s="13" t="s">
        <v>13</v>
      </c>
    </row>
    <row r="7" spans="1:5" ht="65.25" customHeight="1" x14ac:dyDescent="0.25">
      <c r="B7" s="12" t="s">
        <v>285</v>
      </c>
    </row>
    <row r="8" spans="1:5" ht="39.75" customHeight="1" x14ac:dyDescent="0.25"/>
    <row r="9" spans="1:5" x14ac:dyDescent="0.25">
      <c r="B9" s="12" t="s">
        <v>284</v>
      </c>
    </row>
    <row r="10" spans="1:5" ht="36" customHeight="1" x14ac:dyDescent="0.25"/>
    <row r="11" spans="1:5" ht="16.5" customHeight="1" x14ac:dyDescent="0.25"/>
  </sheetData>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E5BE3-934F-4898-AFE2-39176FCB16DC}">
  <dimension ref="A2:E14"/>
  <sheetViews>
    <sheetView workbookViewId="0">
      <selection activeCell="B12" sqref="B12"/>
    </sheetView>
  </sheetViews>
  <sheetFormatPr defaultRowHeight="15" x14ac:dyDescent="0.25"/>
  <cols>
    <col min="1" max="1" width="11.140625" style="1" customWidth="1"/>
    <col min="2" max="2" width="92.5703125" customWidth="1"/>
    <col min="3" max="3" width="13.140625" customWidth="1"/>
    <col min="4" max="4" width="15.85546875" customWidth="1"/>
  </cols>
  <sheetData>
    <row r="2" spans="1:5" x14ac:dyDescent="0.25">
      <c r="A2" s="21" t="s">
        <v>0</v>
      </c>
      <c r="B2" s="21" t="s">
        <v>1</v>
      </c>
      <c r="C2" s="21" t="s">
        <v>45</v>
      </c>
      <c r="D2" s="19" t="s">
        <v>46</v>
      </c>
      <c r="E2" s="19" t="s">
        <v>47</v>
      </c>
    </row>
    <row r="3" spans="1:5" x14ac:dyDescent="0.25">
      <c r="A3" s="37"/>
      <c r="B3" s="25"/>
      <c r="C3" s="25"/>
      <c r="D3" s="26"/>
      <c r="E3" s="25"/>
    </row>
    <row r="4" spans="1:5" x14ac:dyDescent="0.25">
      <c r="A4" s="51"/>
      <c r="B4" s="5"/>
      <c r="C4" s="5"/>
      <c r="D4" s="29"/>
      <c r="E4" s="5"/>
    </row>
    <row r="5" spans="1:5" x14ac:dyDescent="0.25">
      <c r="A5" s="51"/>
      <c r="B5" s="5"/>
      <c r="C5" s="5"/>
      <c r="D5" s="29"/>
      <c r="E5" s="5"/>
    </row>
    <row r="6" spans="1:5" x14ac:dyDescent="0.25">
      <c r="A6" s="3"/>
      <c r="B6" s="4"/>
      <c r="C6" s="4"/>
      <c r="D6" s="15"/>
      <c r="E6" s="4"/>
    </row>
    <row r="7" spans="1:5" x14ac:dyDescent="0.25">
      <c r="A7" s="3"/>
      <c r="B7" s="4"/>
      <c r="C7" s="4"/>
      <c r="D7" s="15"/>
      <c r="E7" s="4"/>
    </row>
    <row r="8" spans="1:5" x14ac:dyDescent="0.25">
      <c r="A8" s="3">
        <v>0</v>
      </c>
      <c r="B8" s="4"/>
      <c r="C8" s="4"/>
      <c r="D8" s="15"/>
      <c r="E8" s="4"/>
    </row>
    <row r="9" spans="1:5" x14ac:dyDescent="0.25">
      <c r="A9" s="11"/>
      <c r="B9" s="6"/>
      <c r="C9" s="6"/>
      <c r="D9" s="38"/>
      <c r="E9" s="6"/>
    </row>
    <row r="10" spans="1:5" x14ac:dyDescent="0.25">
      <c r="B10" s="13" t="s">
        <v>13</v>
      </c>
    </row>
    <row r="11" spans="1:5" ht="15" customHeight="1" x14ac:dyDescent="0.25">
      <c r="B11" s="12" t="s">
        <v>287</v>
      </c>
    </row>
    <row r="12" spans="1:5" x14ac:dyDescent="0.25">
      <c r="B12" s="12"/>
    </row>
    <row r="14" spans="1:5" ht="16.5" customHeight="1" x14ac:dyDescent="0.25"/>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C8FB8-CC44-49F0-8BE8-79737CEB6346}">
  <dimension ref="A2:E14"/>
  <sheetViews>
    <sheetView workbookViewId="0">
      <selection activeCell="A9" sqref="A9"/>
    </sheetView>
  </sheetViews>
  <sheetFormatPr defaultRowHeight="15" x14ac:dyDescent="0.25"/>
  <cols>
    <col min="1" max="1" width="11.140625" style="1" customWidth="1"/>
    <col min="2" max="2" width="92.5703125" customWidth="1"/>
    <col min="3" max="3" width="13.140625" customWidth="1"/>
    <col min="4" max="4" width="15.85546875" customWidth="1"/>
  </cols>
  <sheetData>
    <row r="2" spans="1:5" x14ac:dyDescent="0.25">
      <c r="A2" s="21" t="s">
        <v>0</v>
      </c>
      <c r="B2" s="21" t="s">
        <v>1</v>
      </c>
      <c r="C2" s="21" t="s">
        <v>45</v>
      </c>
      <c r="D2" s="19" t="s">
        <v>46</v>
      </c>
      <c r="E2" s="19" t="s">
        <v>47</v>
      </c>
    </row>
    <row r="3" spans="1:5" x14ac:dyDescent="0.25">
      <c r="A3" s="37">
        <v>31</v>
      </c>
      <c r="B3" s="25" t="s">
        <v>159</v>
      </c>
      <c r="C3" s="25" t="s">
        <v>163</v>
      </c>
      <c r="D3" s="26">
        <v>0</v>
      </c>
      <c r="E3" s="25"/>
    </row>
    <row r="4" spans="1:5" x14ac:dyDescent="0.25">
      <c r="A4" s="51">
        <v>30</v>
      </c>
      <c r="B4" s="5" t="s">
        <v>162</v>
      </c>
      <c r="C4" s="5" t="s">
        <v>44</v>
      </c>
      <c r="D4" s="29">
        <v>0</v>
      </c>
      <c r="E4" s="5"/>
    </row>
    <row r="5" spans="1:5" x14ac:dyDescent="0.25">
      <c r="A5" s="37">
        <v>29</v>
      </c>
      <c r="B5" s="25" t="s">
        <v>160</v>
      </c>
      <c r="C5" s="25" t="s">
        <v>163</v>
      </c>
      <c r="D5" s="26">
        <v>0</v>
      </c>
      <c r="E5" s="25"/>
    </row>
    <row r="6" spans="1:5" x14ac:dyDescent="0.25">
      <c r="A6" s="51" t="s">
        <v>161</v>
      </c>
      <c r="B6" s="5" t="s">
        <v>156</v>
      </c>
      <c r="C6" s="5" t="s">
        <v>163</v>
      </c>
      <c r="D6" s="29">
        <v>0</v>
      </c>
      <c r="E6" s="5"/>
    </row>
    <row r="7" spans="1:5" x14ac:dyDescent="0.25">
      <c r="A7" s="37" t="s">
        <v>158</v>
      </c>
      <c r="B7" s="25" t="s">
        <v>166</v>
      </c>
      <c r="C7" s="25" t="s">
        <v>163</v>
      </c>
      <c r="D7" s="26">
        <v>0</v>
      </c>
      <c r="E7" s="25"/>
    </row>
    <row r="8" spans="1:5" x14ac:dyDescent="0.25">
      <c r="A8" s="51" t="s">
        <v>157</v>
      </c>
      <c r="B8" s="5" t="s">
        <v>155</v>
      </c>
      <c r="C8" s="5" t="s">
        <v>43</v>
      </c>
      <c r="D8" s="29">
        <v>0</v>
      </c>
      <c r="E8" s="5"/>
    </row>
    <row r="9" spans="1:5" x14ac:dyDescent="0.25">
      <c r="A9" s="11"/>
      <c r="B9" s="6"/>
      <c r="C9" s="6"/>
      <c r="D9" s="38"/>
      <c r="E9" s="6"/>
    </row>
    <row r="10" spans="1:5" x14ac:dyDescent="0.25">
      <c r="B10" s="13" t="s">
        <v>13</v>
      </c>
    </row>
    <row r="11" spans="1:5" ht="15" customHeight="1" x14ac:dyDescent="0.25">
      <c r="B11" s="12"/>
    </row>
    <row r="12" spans="1:5" x14ac:dyDescent="0.25">
      <c r="B12" s="12"/>
    </row>
    <row r="14" spans="1:5" ht="16.5" customHeight="1" x14ac:dyDescent="0.25"/>
  </sheetData>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E17"/>
  <sheetViews>
    <sheetView workbookViewId="0">
      <selection activeCell="B9" sqref="B9"/>
    </sheetView>
  </sheetViews>
  <sheetFormatPr defaultRowHeight="15" x14ac:dyDescent="0.25"/>
  <cols>
    <col min="1" max="1" width="9.85546875" customWidth="1"/>
    <col min="2" max="2" width="84" customWidth="1"/>
    <col min="3" max="3" width="15.140625" customWidth="1"/>
    <col min="4" max="4" width="16.140625" customWidth="1"/>
  </cols>
  <sheetData>
    <row r="2" spans="1:5" ht="15" customHeight="1" x14ac:dyDescent="0.25">
      <c r="A2" s="21" t="s">
        <v>0</v>
      </c>
      <c r="B2" s="21" t="s">
        <v>1</v>
      </c>
      <c r="C2" s="21" t="s">
        <v>45</v>
      </c>
      <c r="D2" s="19" t="s">
        <v>46</v>
      </c>
      <c r="E2" s="19" t="s">
        <v>47</v>
      </c>
    </row>
    <row r="3" spans="1:5" x14ac:dyDescent="0.25">
      <c r="A3" s="23" t="s">
        <v>4</v>
      </c>
      <c r="B3" s="24" t="s">
        <v>72</v>
      </c>
      <c r="C3" s="25" t="s">
        <v>59</v>
      </c>
      <c r="D3" s="26" t="s">
        <v>74</v>
      </c>
      <c r="E3" s="26" t="s">
        <v>73</v>
      </c>
    </row>
    <row r="5" spans="1:5" x14ac:dyDescent="0.25">
      <c r="B5" s="9" t="s">
        <v>13</v>
      </c>
    </row>
    <row r="6" spans="1:5" x14ac:dyDescent="0.25">
      <c r="B6" t="s">
        <v>81</v>
      </c>
    </row>
    <row r="7" spans="1:5" x14ac:dyDescent="0.25">
      <c r="B7" t="s">
        <v>84</v>
      </c>
    </row>
    <row r="8" spans="1:5" x14ac:dyDescent="0.25">
      <c r="B8" t="s">
        <v>85</v>
      </c>
    </row>
    <row r="10" spans="1:5" ht="323.25" customHeight="1" x14ac:dyDescent="0.25"/>
    <row r="11" spans="1:5" x14ac:dyDescent="0.25">
      <c r="B11" s="9"/>
    </row>
    <row r="17" spans="2:2" x14ac:dyDescent="0.25">
      <c r="B17" s="9"/>
    </row>
  </sheetData>
  <pageMargins left="0.7" right="0.7" top="0.75" bottom="0.75" header="0.3" footer="0.3"/>
  <pageSetup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E17"/>
  <sheetViews>
    <sheetView workbookViewId="0">
      <selection activeCell="B9" sqref="B9"/>
    </sheetView>
  </sheetViews>
  <sheetFormatPr defaultRowHeight="15" x14ac:dyDescent="0.25"/>
  <cols>
    <col min="1" max="1" width="9.85546875" customWidth="1"/>
    <col min="2" max="2" width="115.5703125" customWidth="1"/>
    <col min="3" max="3" width="12.5703125" customWidth="1"/>
    <col min="4" max="4" width="15.5703125" customWidth="1"/>
    <col min="5" max="5" width="9.28515625" customWidth="1"/>
  </cols>
  <sheetData>
    <row r="2" spans="1:5" ht="15" customHeight="1" x14ac:dyDescent="0.25">
      <c r="A2" s="21" t="s">
        <v>0</v>
      </c>
      <c r="B2" s="21" t="s">
        <v>1</v>
      </c>
      <c r="C2" s="21" t="s">
        <v>45</v>
      </c>
      <c r="D2" s="19" t="s">
        <v>46</v>
      </c>
      <c r="E2" s="19" t="s">
        <v>47</v>
      </c>
    </row>
    <row r="3" spans="1:5" x14ac:dyDescent="0.25">
      <c r="A3" s="23" t="s">
        <v>4</v>
      </c>
      <c r="B3" s="24" t="s">
        <v>75</v>
      </c>
      <c r="C3" s="25"/>
      <c r="D3" s="26" t="s">
        <v>76</v>
      </c>
      <c r="E3" s="26" t="s">
        <v>73</v>
      </c>
    </row>
    <row r="5" spans="1:5" x14ac:dyDescent="0.25">
      <c r="B5" s="9" t="s">
        <v>13</v>
      </c>
    </row>
    <row r="6" spans="1:5" x14ac:dyDescent="0.25">
      <c r="B6" t="s">
        <v>81</v>
      </c>
    </row>
    <row r="7" spans="1:5" x14ac:dyDescent="0.25">
      <c r="B7" t="s">
        <v>82</v>
      </c>
    </row>
    <row r="8" spans="1:5" x14ac:dyDescent="0.25">
      <c r="B8" t="s">
        <v>83</v>
      </c>
    </row>
    <row r="10" spans="1:5" ht="327" customHeight="1" x14ac:dyDescent="0.25"/>
    <row r="11" spans="1:5" x14ac:dyDescent="0.25">
      <c r="B11" s="9"/>
    </row>
    <row r="17" spans="2:2" x14ac:dyDescent="0.25">
      <c r="B17" s="9"/>
    </row>
  </sheetData>
  <pageMargins left="0.7" right="0.7" top="0.75" bottom="0.75" header="0.3" footer="0.3"/>
  <pageSetup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E6"/>
  <sheetViews>
    <sheetView workbookViewId="0">
      <selection activeCell="C2" sqref="C2:E2"/>
    </sheetView>
  </sheetViews>
  <sheetFormatPr defaultRowHeight="15" x14ac:dyDescent="0.25"/>
  <cols>
    <col min="2" max="2" width="100" customWidth="1"/>
    <col min="3" max="3" width="13.7109375" customWidth="1"/>
    <col min="4" max="4" width="14.5703125" customWidth="1"/>
    <col min="5" max="5" width="12.5703125" customWidth="1"/>
  </cols>
  <sheetData>
    <row r="2" spans="1:5" ht="15" customHeight="1" x14ac:dyDescent="0.25">
      <c r="A2" s="21" t="s">
        <v>0</v>
      </c>
      <c r="B2" s="21" t="s">
        <v>1</v>
      </c>
      <c r="C2" s="21" t="s">
        <v>45</v>
      </c>
      <c r="D2" s="19" t="s">
        <v>46</v>
      </c>
      <c r="E2" s="19" t="s">
        <v>47</v>
      </c>
    </row>
    <row r="3" spans="1:5" x14ac:dyDescent="0.25">
      <c r="A3" s="23" t="s">
        <v>4</v>
      </c>
      <c r="B3" s="24" t="s">
        <v>15</v>
      </c>
      <c r="C3" s="25" t="s">
        <v>37</v>
      </c>
      <c r="D3" s="25"/>
      <c r="E3" s="25"/>
    </row>
    <row r="6" spans="1:5" x14ac:dyDescent="0.25">
      <c r="B6" s="9" t="s">
        <v>77</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2:E8"/>
  <sheetViews>
    <sheetView workbookViewId="0">
      <selection activeCell="B9" sqref="B9"/>
    </sheetView>
  </sheetViews>
  <sheetFormatPr defaultRowHeight="15" x14ac:dyDescent="0.25"/>
  <cols>
    <col min="2" max="2" width="92.42578125" customWidth="1"/>
    <col min="3" max="3" width="12.7109375" customWidth="1"/>
    <col min="4" max="4" width="15" customWidth="1"/>
  </cols>
  <sheetData>
    <row r="2" spans="1:5" ht="15" customHeight="1" x14ac:dyDescent="0.25">
      <c r="A2" s="21" t="s">
        <v>0</v>
      </c>
      <c r="B2" s="21" t="s">
        <v>1</v>
      </c>
      <c r="C2" s="21" t="s">
        <v>45</v>
      </c>
      <c r="D2" s="19" t="s">
        <v>46</v>
      </c>
      <c r="E2" s="19" t="s">
        <v>47</v>
      </c>
    </row>
    <row r="3" spans="1:5" x14ac:dyDescent="0.25">
      <c r="A3" s="24" t="s">
        <v>23</v>
      </c>
      <c r="B3" s="24" t="s">
        <v>20</v>
      </c>
      <c r="C3" s="25"/>
      <c r="D3" s="25"/>
      <c r="E3" s="25"/>
    </row>
    <row r="4" spans="1:5" x14ac:dyDescent="0.25">
      <c r="A4" s="4" t="s">
        <v>22</v>
      </c>
      <c r="B4" s="4" t="s">
        <v>78</v>
      </c>
      <c r="C4" s="5" t="s">
        <v>59</v>
      </c>
      <c r="D4" s="15" t="s">
        <v>317</v>
      </c>
      <c r="E4" s="15" t="s">
        <v>79</v>
      </c>
    </row>
    <row r="6" spans="1:5" x14ac:dyDescent="0.25">
      <c r="B6" s="9" t="s">
        <v>13</v>
      </c>
    </row>
    <row r="7" spans="1:5" x14ac:dyDescent="0.25">
      <c r="B7" t="s">
        <v>318</v>
      </c>
    </row>
    <row r="8" spans="1:5" ht="30" x14ac:dyDescent="0.25">
      <c r="B8" s="12" t="s">
        <v>80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Memory Map</vt:lpstr>
      <vt:lpstr>Action Cmd struct</vt:lpstr>
      <vt:lpstr>FW Revision</vt:lpstr>
      <vt:lpstr>Overall Status</vt:lpstr>
      <vt:lpstr>Board Control</vt:lpstr>
      <vt:lpstr>Start Time</vt:lpstr>
      <vt:lpstr>Stop Time</vt:lpstr>
      <vt:lpstr>Channel Amplitude</vt:lpstr>
      <vt:lpstr>Channel Phase</vt:lpstr>
      <vt:lpstr>Channel Freq</vt:lpstr>
      <vt:lpstr>LFM</vt:lpstr>
      <vt:lpstr>Phase Code</vt:lpstr>
      <vt:lpstr>BPSK Reg1</vt:lpstr>
      <vt:lpstr>BPSK Reg2</vt:lpstr>
      <vt:lpstr>Die Temperature</vt:lpstr>
      <vt:lpstr>DDS Status</vt:lpstr>
      <vt:lpstr>LMK ReadWrite</vt:lpstr>
      <vt:lpstr>GCW Emulator Duration</vt:lpstr>
      <vt:lpstr>GCW Emulator Period</vt:lpstr>
      <vt:lpstr>Diagnostic R-W</vt:lpstr>
      <vt:lpstr>Trigger Timeout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Hai Tuyen (U.S. Person)</dc:creator>
  <cp:lastModifiedBy>qwark</cp:lastModifiedBy>
  <dcterms:created xsi:type="dcterms:W3CDTF">2017-11-16T22:09:34Z</dcterms:created>
  <dcterms:modified xsi:type="dcterms:W3CDTF">2022-05-13T06:49:11Z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a132d8ab-2485-4715-802d-31da94d84165</vt:lpwstr>
  </property>
  <property fmtid="{D5CDD505-2E9C-101B-9397-08002B2CF9AE}" pid="3" name="CLASSIFICATION">
    <vt:lpwstr>General</vt:lpwstr>
  </property>
</Properties>
</file>