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Docs\Job_Files\IRT\TR_CS_Module\General_Tech_Info\Register_Map\"/>
    </mc:Choice>
  </mc:AlternateContent>
  <xr:revisionPtr revIDLastSave="0" documentId="13_ncr:1_{B5B1E81E-8D17-47BC-950D-D75CCE4BB4B3}" xr6:coauthVersionLast="47" xr6:coauthVersionMax="47" xr10:uidLastSave="{00000000-0000-0000-0000-000000000000}"/>
  <bookViews>
    <workbookView xWindow="-120" yWindow="-120" windowWidth="25440" windowHeight="15270" tabRatio="677" xr2:uid="{00000000-000D-0000-FFFF-FFFF00000000}"/>
  </bookViews>
  <sheets>
    <sheet name="Memory Map" sheetId="2" r:id="rId1"/>
    <sheet name="Action CMD Struct" sheetId="31" r:id="rId2"/>
    <sheet name="FW Revision" sheetId="4" r:id="rId3"/>
    <sheet name="Overall Status" sheetId="5" r:id="rId4"/>
    <sheet name="Board Control" sheetId="1" r:id="rId5"/>
    <sheet name="# of Actions" sheetId="17" r:id="rId6"/>
    <sheet name="Sample Win Start" sheetId="11" r:id="rId7"/>
    <sheet name="Sample Win Stop" sheetId="10" r:id="rId8"/>
    <sheet name="Channel Amplitude" sheetId="7" r:id="rId9"/>
    <sheet name="Channel Delay" sheetId="6" r:id="rId10"/>
    <sheet name="Channel Phase" sheetId="9" r:id="rId11"/>
    <sheet name="Extender IO sel, DMA status rd" sheetId="40" r:id="rId12"/>
    <sheet name="Die Temperature" sheetId="41" r:id="rId13"/>
    <sheet name="DMA Control Stas" sheetId="39" r:id="rId14"/>
    <sheet name="DMA Write status" sheetId="38" r:id="rId15"/>
    <sheet name="DMA Read status" sheetId="37" r:id="rId16"/>
    <sheet name="DMA Write Count" sheetId="36" r:id="rId17"/>
    <sheet name="Read Setup" sheetId="35" r:id="rId18"/>
    <sheet name="Trigger Timeout" sheetId="32" r:id="rId19"/>
    <sheet name="Trigger Period" sheetId="34" r:id="rId20"/>
    <sheet name="Diagnostic R-W" sheetId="14" r:id="rId2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9" i="2" l="1"/>
  <c r="C78" i="2"/>
  <c r="C77" i="2"/>
  <c r="C76" i="2"/>
  <c r="C75" i="2"/>
  <c r="B79" i="2"/>
  <c r="B78" i="2"/>
  <c r="B77" i="2"/>
  <c r="B76" i="2"/>
  <c r="C73" i="2"/>
  <c r="C72" i="2"/>
  <c r="C71" i="2"/>
  <c r="C70" i="2"/>
  <c r="C69" i="2"/>
  <c r="C68" i="2"/>
  <c r="C67" i="2"/>
  <c r="C66" i="2"/>
  <c r="C65" i="2"/>
  <c r="C64" i="2"/>
  <c r="C63" i="2"/>
  <c r="C62" i="2"/>
  <c r="C61" i="2"/>
  <c r="C60" i="2"/>
  <c r="C59" i="2"/>
  <c r="B60" i="2"/>
  <c r="B61" i="2" s="1"/>
  <c r="B62" i="2" s="1"/>
  <c r="B63" i="2" s="1"/>
  <c r="B64" i="2" s="1"/>
  <c r="B65" i="2" s="1"/>
  <c r="B66" i="2" s="1"/>
  <c r="B67" i="2" s="1"/>
  <c r="B68" i="2" s="1"/>
  <c r="B69" i="2" s="1"/>
  <c r="B70" i="2" s="1"/>
  <c r="B71" i="2" s="1"/>
  <c r="B72" i="2" s="1"/>
  <c r="B73" i="2" s="1"/>
  <c r="C57" i="2" l="1"/>
  <c r="C56" i="2"/>
  <c r="C55" i="2"/>
  <c r="C54" i="2"/>
  <c r="C53" i="2"/>
  <c r="C52" i="2"/>
  <c r="C51" i="2"/>
  <c r="C50" i="2"/>
  <c r="C49" i="2"/>
  <c r="C48" i="2"/>
  <c r="B48" i="2"/>
  <c r="B49" i="2" s="1"/>
  <c r="B50" i="2" s="1"/>
  <c r="B51" i="2" s="1"/>
  <c r="B52" i="2" s="1"/>
  <c r="B53" i="2" s="1"/>
  <c r="B54" i="2" s="1"/>
  <c r="B55" i="2" s="1"/>
  <c r="B56" i="2" s="1"/>
  <c r="B57" i="2" s="1"/>
  <c r="A49" i="2" l="1"/>
  <c r="A50" i="2" l="1"/>
  <c r="A51" i="2" s="1"/>
  <c r="A52" i="2" s="1"/>
  <c r="A53" i="2" s="1"/>
  <c r="A54" i="2" s="1"/>
  <c r="A55" i="2" s="1"/>
  <c r="A56" i="2" s="1"/>
  <c r="A57" i="2" s="1"/>
  <c r="C3" i="2" l="1"/>
  <c r="B4" i="2"/>
  <c r="B5" i="2" s="1"/>
  <c r="C4" i="2" l="1"/>
  <c r="B6" i="2"/>
  <c r="C5" i="2"/>
  <c r="B7" i="2" l="1"/>
  <c r="C6" i="2"/>
  <c r="B8" i="2" l="1"/>
  <c r="C7" i="2"/>
  <c r="B9" i="2" l="1"/>
  <c r="C8" i="2"/>
  <c r="B10" i="2" l="1"/>
  <c r="C9" i="2"/>
  <c r="B11" i="2" l="1"/>
  <c r="C10" i="2"/>
  <c r="B12" i="2" l="1"/>
  <c r="C11" i="2"/>
  <c r="B13" i="2" l="1"/>
  <c r="C12" i="2"/>
  <c r="B14" i="2" l="1"/>
  <c r="C13" i="2"/>
  <c r="B15" i="2" l="1"/>
  <c r="C14" i="2"/>
  <c r="B16" i="2" l="1"/>
  <c r="C15" i="2"/>
  <c r="B17" i="2" l="1"/>
  <c r="C16" i="2"/>
  <c r="B18" i="2" l="1"/>
  <c r="C17" i="2"/>
  <c r="B19" i="2" l="1"/>
  <c r="C18" i="2"/>
  <c r="B20" i="2" l="1"/>
  <c r="C19" i="2"/>
  <c r="B21" i="2" l="1"/>
  <c r="C20" i="2"/>
  <c r="B22" i="2" l="1"/>
  <c r="C21" i="2"/>
  <c r="B23" i="2" l="1"/>
  <c r="C22" i="2"/>
  <c r="B24" i="2" l="1"/>
  <c r="C23" i="2"/>
  <c r="B25" i="2" l="1"/>
  <c r="C24" i="2"/>
  <c r="B26" i="2" l="1"/>
  <c r="C25" i="2"/>
  <c r="B27" i="2" l="1"/>
  <c r="C26" i="2"/>
  <c r="B28" i="2" l="1"/>
  <c r="C27" i="2"/>
  <c r="B29" i="2" l="1"/>
  <c r="C28" i="2"/>
  <c r="B30" i="2" l="1"/>
  <c r="C29" i="2"/>
  <c r="B31" i="2" l="1"/>
  <c r="C30" i="2"/>
  <c r="B32" i="2" l="1"/>
  <c r="C31" i="2"/>
  <c r="B33" i="2" l="1"/>
  <c r="C32" i="2"/>
  <c r="B34" i="2" l="1"/>
  <c r="C33" i="2"/>
  <c r="B35" i="2" l="1"/>
  <c r="C34" i="2"/>
  <c r="B36" i="2" l="1"/>
  <c r="C35" i="2"/>
  <c r="B37" i="2" l="1"/>
  <c r="C36" i="2"/>
  <c r="B38" i="2" l="1"/>
  <c r="C37" i="2"/>
  <c r="B39" i="2" l="1"/>
  <c r="C38" i="2"/>
  <c r="B40" i="2" l="1"/>
  <c r="C39" i="2"/>
  <c r="B41" i="2" l="1"/>
  <c r="C40" i="2"/>
  <c r="B42" i="2" l="1"/>
  <c r="C41" i="2"/>
  <c r="C42" i="2" l="1"/>
  <c r="B44" i="2"/>
  <c r="B45" i="2" l="1"/>
  <c r="C44" i="2"/>
  <c r="B46" i="2" l="1"/>
  <c r="C45" i="2"/>
  <c r="B47" i="2" l="1"/>
  <c r="C46" i="2"/>
  <c r="C47" i="2" l="1"/>
</calcChain>
</file>

<file path=xl/sharedStrings.xml><?xml version="1.0" encoding="utf-8"?>
<sst xmlns="http://schemas.openxmlformats.org/spreadsheetml/2006/main" count="523" uniqueCount="226">
  <si>
    <t>BITS</t>
  </si>
  <si>
    <t>FUNCTION</t>
  </si>
  <si>
    <t>Not Used</t>
  </si>
  <si>
    <t>Register Name</t>
  </si>
  <si>
    <t>31..0</t>
  </si>
  <si>
    <t>9..0</t>
  </si>
  <si>
    <t>31..10</t>
  </si>
  <si>
    <t>31..8</t>
  </si>
  <si>
    <t>15..0</t>
  </si>
  <si>
    <t>7..0</t>
  </si>
  <si>
    <t>lmk_clkin1_sel, 1 = ckin1 selected to go to PLL1</t>
  </si>
  <si>
    <t>LMK Status 1 (pin 31 of the LMK), 1 = PLL1 lock, 0 = outputs disabled if cklin0 is selected</t>
  </si>
  <si>
    <t>31..16</t>
  </si>
  <si>
    <t>Notes:</t>
  </si>
  <si>
    <t>NOTES:</t>
  </si>
  <si>
    <t>Buffer to read and write information (mainly used for passing diagnostics information).  FPGA will take no action.</t>
  </si>
  <si>
    <t>FPGA Revision:  15..8 Major Revision 7..0 minor revision.  Ex: 0x030B = Rev 3.11</t>
  </si>
  <si>
    <t>Read Only</t>
  </si>
  <si>
    <t>Direction</t>
  </si>
  <si>
    <t>FW Revision</t>
  </si>
  <si>
    <t>RF BIT check (ADC lookback check).  A '1' on any bit = failed check</t>
  </si>
  <si>
    <t>Write/Read</t>
  </si>
  <si>
    <t>Overall Board Status</t>
  </si>
  <si>
    <t>Channel SIM ready: 1 when initialization and BIT complete at POR</t>
  </si>
  <si>
    <t>Phase offset of the RF output waveform-- still a work in progress.  Will likely be a time value in relation to a digital low pass filter</t>
  </si>
  <si>
    <t>Board Control</t>
  </si>
  <si>
    <t>Write Only</t>
  </si>
  <si>
    <t>Spare</t>
  </si>
  <si>
    <t>Begin Action Command Register Space</t>
  </si>
  <si>
    <t>Address Offset</t>
  </si>
  <si>
    <t>Number of actions to be sent/executed for the next trigger event</t>
  </si>
  <si>
    <t>Reg #</t>
  </si>
  <si>
    <t>NAME/FUNCTION</t>
  </si>
  <si>
    <t>R/W</t>
  </si>
  <si>
    <t>Default</t>
  </si>
  <si>
    <t>Notes</t>
  </si>
  <si>
    <t>N/A</t>
  </si>
  <si>
    <t>Read</t>
  </si>
  <si>
    <t>Manual BIT result: 0 = Passed, 1 = Failed</t>
  </si>
  <si>
    <t>DDR4 Write Overrun: 0 = no overrun, 1 = overrun occurred</t>
  </si>
  <si>
    <t>31..24</t>
  </si>
  <si>
    <t>Channel SIM enable: 0 = not enabled, 1 = enabled</t>
  </si>
  <si>
    <t>Write/(read)</t>
  </si>
  <si>
    <t>Action command Load/status: 0 --&gt; 1 loading commands, 1 --&gt; 0 commands load complete</t>
  </si>
  <si>
    <t>Run BIT:  0 --&gt; 1 runs BIT (edge detect).  Updates status registers after BIT is complete.  Can only be run when Chan SIM Enable = 0</t>
  </si>
  <si>
    <t>00</t>
  </si>
  <si>
    <t>2..1</t>
  </si>
  <si>
    <t>0x00000000</t>
  </si>
  <si>
    <t>0x3FF</t>
  </si>
  <si>
    <t>[1]:  This should occur before the actual signal so that no part of the pulse is missed</t>
  </si>
  <si>
    <t>Amplitude adjustment of the RF output waveform</t>
  </si>
  <si>
    <t>[1]: Scales linear as the value is reduced:
1 (full) amplitude = 3FF
3/4 amplitude = 2FF
1/2 amplitude = 1FF
1/4 amplitude = 0FF</t>
  </si>
  <si>
    <t>[1]:  This should occur after the actual signal so that no part of the pulse is missed</t>
  </si>
  <si>
    <t>Read/Write</t>
  </si>
  <si>
    <t>0x00</t>
  </si>
  <si>
    <t>1,2</t>
  </si>
  <si>
    <t>[1] This is the number of actions that will be sent for the next trigger</t>
  </si>
  <si>
    <t>Setting</t>
  </si>
  <si>
    <t>CMD#</t>
  </si>
  <si>
    <t>Amplitude =&gt; Amplitude of the output waveform. Max = 3FF (i.e. 10 bits)</t>
  </si>
  <si>
    <t>Memory test valid: 0 = Passed 1 Failed</t>
  </si>
  <si>
    <t>0x0000</t>
  </si>
  <si>
    <t>`</t>
  </si>
  <si>
    <t>Channel 1 Phase Offset  (one shot mode)</t>
  </si>
  <si>
    <t>Channel 0 Sampling start (one shot mode)</t>
  </si>
  <si>
    <t>Channel 0 Sampling Stop (one shot mode)</t>
  </si>
  <si>
    <t>Channel 0 Amplitude (one shot mode)</t>
  </si>
  <si>
    <t>Channel 0 Delay  (one shot mode)</t>
  </si>
  <si>
    <t>Channel 0 Phase Offset  (one shot mode)</t>
  </si>
  <si>
    <t>Channel 1 Sampling Start (one shot mode)</t>
  </si>
  <si>
    <t>Channel 1 Amplitude  (one shot mode)</t>
  </si>
  <si>
    <t>Channel 1 Delay (one shot mode)</t>
  </si>
  <si>
    <t>Channel 0 number of actions</t>
  </si>
  <si>
    <t>"Soft" reset: 0 = not in reset, 1 = in reset.  Note to leave reset this bit must be set low after it is high (i.e. this is not an edge detect)</t>
  </si>
  <si>
    <t>Trigger Period</t>
  </si>
  <si>
    <t>Trigger Timeout</t>
  </si>
  <si>
    <t>30..7</t>
  </si>
  <si>
    <t>[2]  For emulator mode this bit is ignored.  The internal trigger option is for a SW trigger (i.e. bit-4 of the board control register)</t>
  </si>
  <si>
    <t>Read Setup Time</t>
  </si>
  <si>
    <t>Source: 0 = ADC input, 1 = Internal sig gen (10MHz)</t>
  </si>
  <si>
    <t>Read Side DMA status</t>
  </si>
  <si>
    <t>Write Side DMA status</t>
  </si>
  <si>
    <t>DMA Write Counter</t>
  </si>
  <si>
    <t>DMA Control statistics</t>
  </si>
  <si>
    <t>Stop Sampling =&gt; Time from Trigger Rising edge until ADC sampling stop.  Time = Start Value * (1/300E6)</t>
  </si>
  <si>
    <t>Start Sampling =&gt; Time from Trigger Rising edge until ADC sampling start.  Time = Start Value * (1/300E6)</t>
  </si>
  <si>
    <t xml:space="preserve">lmk_clkin0_sel, 1= clkin0 selected to go to PLL1 </t>
  </si>
  <si>
    <t xml:space="preserve">LMK Status 2 (pin 48 of the LMK), 1 = PLL2 lock </t>
  </si>
  <si>
    <t>[4] The internal source is a test mode only.  It will generate a 10MHz sine wave in place of the ADC output to the reset of the design.</t>
  </si>
  <si>
    <t>[3] There is no Built-In-Test (BIT) function when using the ZCU208 Evaluation board</t>
  </si>
  <si>
    <t>[1]: The delay value is based on a counter running on a 300MHz clock.  
Delay Time = Register Decimal Value * 3.333ns</t>
  </si>
  <si>
    <t>1, 2</t>
  </si>
  <si>
    <t>Channel 1 Sampling Stop (one shot mode)</t>
  </si>
  <si>
    <t>Diagnostic R-W: Buffer for reading and writing information</t>
  </si>
  <si>
    <t>Delay =&gt; Delay time before sending recorded analog input data to the output DAC  Time = Delay Value * (1/300E6)</t>
  </si>
  <si>
    <r>
      <t xml:space="preserve">Phase Shift =&gt; This is yet to be defined but will be a coefficient for a LPF, </t>
    </r>
    <r>
      <rPr>
        <b/>
        <sz val="11"/>
        <rFont val="Calibri"/>
        <family val="2"/>
        <scheme val="minor"/>
      </rPr>
      <t xml:space="preserve">Always send zero </t>
    </r>
    <r>
      <rPr>
        <sz val="11"/>
        <rFont val="Calibri"/>
        <family val="2"/>
        <scheme val="minor"/>
      </rPr>
      <t>(not implemented)</t>
    </r>
  </si>
  <si>
    <t>Count value for channel delay.  1 count = 3.333ns</t>
  </si>
  <si>
    <t>[1] Current Version = 1.1 (0x0101) as of 4/7/2022</t>
  </si>
  <si>
    <t>[2]: Amplitude setting is not currently implemented on the ZCU208 Eval board version</t>
  </si>
  <si>
    <t>[1]: This feature is not currently implemented in the ZCU208 Eval board version</t>
  </si>
  <si>
    <t>Time after Trigger to begin sampling the ADC and storing data: In counts, 1 count = 3.333ns</t>
  </si>
  <si>
    <t>How long to sample after sample start, based on trigger: In counts, 1 count = 3.333ns</t>
  </si>
  <si>
    <t>[2]: The stop time is in realtion to the Trigger input rising edge.  The trigger is often refered to as the Pulse Burst Perioid (PBP) signal</t>
  </si>
  <si>
    <t>[2]: The start time is in realtion to the Trigger input rising edge.  The trigger is often refered to as the Pulse Burst Perioid (PBP) signal</t>
  </si>
  <si>
    <t>[2]:  The delay value is applied from the START register value NOT the trigger input rising edge.</t>
  </si>
  <si>
    <t>1, 2, 3</t>
  </si>
  <si>
    <t>[3]:  The delay start cannot occur during a capture window (Start/Stop times)</t>
  </si>
  <si>
    <t>[2] Expected parameters per "action":
Channel Sample Start
Channel Sample Stop (defines duration)
Channel Amplitude
Channel Delay
Channel Phase Delay</t>
  </si>
  <si>
    <t>31..21</t>
  </si>
  <si>
    <t>Note used</t>
  </si>
  <si>
    <t>20..0</t>
  </si>
  <si>
    <t>Trigger Wait Timeout: Timeout = Register Value * 3.333ns</t>
  </si>
  <si>
    <t>0x00FFFFFF</t>
  </si>
  <si>
    <t>[1] This setting determines how long the capture control state machine will wait for a trigger after action commands are received.</t>
  </si>
  <si>
    <t>[1] This setting is only used when in the Emulate mode.  This value is the period at which the internally generated trigger runs.</t>
  </si>
  <si>
    <t>Emulated Trigger Period: Period = Register Value * 5ns</t>
  </si>
  <si>
    <t>[2] The 5ns time value is not a typo.  This section of code runs on a 200MHz clock while most other sections run on a 300MHz clock</t>
  </si>
  <si>
    <t>0x00000350</t>
  </si>
  <si>
    <t>[2] The DDR R/W times are variable so the default (3us) allows for some variation.  This was made a settable parameter so adjustments can be made during test and evaluation.</t>
  </si>
  <si>
    <t>[1] 
The DDR Write/Read time for 8192 Bytes (fixed value for DDR R/W bursts) is about 1.3us (measured).  
The time to fill the first FIFO with 256 writes (256 writes x 256-bits = 8192 Bytes) = 256*3.333ns = 0.85us
Total Time = 1.3us + 0.85us = 2.15us.</t>
  </si>
  <si>
    <t>0x00000384</t>
  </si>
  <si>
    <t>Time to extend the delay (playback) window to read from DDR and fill the first FIFO before starting the DAC.  
Time = Register Value * 3.333ns</t>
  </si>
  <si>
    <t>Trigger Type: 0 = External, 1 = Internal (the internal trigger is from bit-3 for this Board control register.  i.e. a SW trigger)</t>
  </si>
  <si>
    <t>Force Tigger:  0 --&gt; 1 (edge detect) forces a trigger when trigger type (bit-5) is internal and not in Emulator Mode.</t>
  </si>
  <si>
    <t>[5] When in the Action Command Mode this bit must be toggled to indicate commands have been loaded for the next Trigger (PBP).  This allows a state machine to load the new actions and wait for the next trigger.</t>
  </si>
  <si>
    <t>This is the "Time" in counts of all DMA writes for the programmed capture window.  Time = Register Value * 3.333ns</t>
  </si>
  <si>
    <t>[1] To get the average DDR write time for a 8192 Burst this value must be divided by the number of Write IRQs located in the DMA Control Statistics register</t>
  </si>
  <si>
    <t>[2] The average measured value is ~1.3us.  Values well above this could indicate a timing problem</t>
  </si>
  <si>
    <t>[3] This register shows the value of a counter that is updated during a capture window.  It is only valid when no new capture events are occurring and only shows the value for the last capture window.</t>
  </si>
  <si>
    <t>DMA Read Side Control Register readback</t>
  </si>
  <si>
    <t>DMA Read Side Status Register readback</t>
  </si>
  <si>
    <t>[2] A "normal" value for this register after running action commands is: 0x00021003</t>
  </si>
  <si>
    <t>[3] This register is only valid when no new capture events are occurring and only shows the value for the last capture window.</t>
  </si>
  <si>
    <t>[1] See Xilinx pg021 For detials of the bits for the Control and Status registers</t>
  </si>
  <si>
    <t>DMA Write Side Status Register readback</t>
  </si>
  <si>
    <t>DMA Write Side Control Register readback</t>
  </si>
  <si>
    <t>3..0</t>
  </si>
  <si>
    <t>DMA AXIL4 interface data switch status.  Indicates which state machine control this interface</t>
  </si>
  <si>
    <t>7..4</t>
  </si>
  <si>
    <t>11..8</t>
  </si>
  <si>
    <t>Over-run Error:  1 = The input data rate is faster than the time taken to save the data to DDR (reset on POR)</t>
  </si>
  <si>
    <t>Overlap Error: 1 = Attempt to read data while Writing data has occurred (reset on POR)</t>
  </si>
  <si>
    <t>23..16</t>
  </si>
  <si>
    <t>IRQ Count:  Indicates the number of burst writes to the DDR (read IRQs will equal this value) in the capture window</t>
  </si>
  <si>
    <t>DMA AIX4L interface time counts.  Time = value * 3.333ns</t>
  </si>
  <si>
    <t>15..14</t>
  </si>
  <si>
    <t>[1]
Bit0: DMA Initialization
Bit1: DDR Write
Bit2: DDR Read
Bit3: DMA IRQ Clear</t>
  </si>
  <si>
    <t>Indicates the status of the DMA/DDR Read control state machine</t>
  </si>
  <si>
    <t>Indicates the status of the DMA/DDR Write control state machine</t>
  </si>
  <si>
    <t>[2]
Bit4: 1 = Stuck the write DDR Addr state
Bit5: 1 = Stuck in the write DDR data state
Bit6: 1 = Stuck in the Clear DDR Write IRQ state
Bit7:  1 = Stuck in the PING or PONG read state</t>
  </si>
  <si>
    <t>[3] 
Bit8: 1 = Stuck the write DDR Addr state
Bit9: 1 = Stuck in the read DDR data state
Bit10: 1 = Stuck in the Clear DDR Read IRQ state
Bit11:  1 = Stuck in the PING or PONG write state</t>
  </si>
  <si>
    <t>[4] This is the total number of write interrupt for last capture window.  This number is used in calculating DDR wite times and AXI4L interface times</t>
  </si>
  <si>
    <t>[5] This is the number of clock cycles for all AXI-4 Light transaction to the DMA for a caputre window.  There are four transaction for each DDR Write burts (i.e. each IRQ).  Data analysis has shown each transaction takes 12 clocks (these run on a 300MHz clock)</t>
  </si>
  <si>
    <t>Max # actions per trigger</t>
  </si>
  <si>
    <t>Channel 1 Sampling Stop settings Action 1</t>
  </si>
  <si>
    <t>Channel 1 Amplitude settings Action 1</t>
  </si>
  <si>
    <t>Channel 1 Delay settings Action 1</t>
  </si>
  <si>
    <t>Channel 1 Phase Offset settings Action 1</t>
  </si>
  <si>
    <t>Channel 1 Sampling Start settings Action 2</t>
  </si>
  <si>
    <t>Channel 1 Sampling Stop settings Action 2</t>
  </si>
  <si>
    <t>Channel 1 Amplitude settings Action 2</t>
  </si>
  <si>
    <t>Channel 1 Delay settings Action 2</t>
  </si>
  <si>
    <t>Channel 1 Phase Offset settings Action 2</t>
  </si>
  <si>
    <t>Channel 1 Sampling Start settings Action 50</t>
  </si>
  <si>
    <t>Channel 1 Sampling Stop settings Action 50</t>
  </si>
  <si>
    <t>Channel 1 Amplitude settings Action 50</t>
  </si>
  <si>
    <t>Channel 1 Delay settings Action 50</t>
  </si>
  <si>
    <t>Channel 1 Phase Offset settings Action 50</t>
  </si>
  <si>
    <t>Channel 2 Sampling Start settings Action 1</t>
  </si>
  <si>
    <t>.
.
.</t>
  </si>
  <si>
    <t>Channel 1 number of actions</t>
  </si>
  <si>
    <t>Channel 0 Sampling Start settings Action 1</t>
  </si>
  <si>
    <t>Channel 0 Sampling Stop settings Action 1</t>
  </si>
  <si>
    <t>Channel 0 Amplitude settings Action 1</t>
  </si>
  <si>
    <t>Channel 0 Delay settings Action 1</t>
  </si>
  <si>
    <t>Channel 0 Phase Offset settings Action 1</t>
  </si>
  <si>
    <t>Channel 0 Sampling Start settings Action 2</t>
  </si>
  <si>
    <t>Channel 0 Sampling Stop settings Action 2</t>
  </si>
  <si>
    <t>Channel 0 Amplitude settings Action 2</t>
  </si>
  <si>
    <t>Channel 0 Delay settings Action 2</t>
  </si>
  <si>
    <t>Channel 0 Phase Offset settings Action 2</t>
  </si>
  <si>
    <t>Channel 0 Sampling Start settings Action 50</t>
  </si>
  <si>
    <t>Channel 0 Sampling Stop settings Action 50</t>
  </si>
  <si>
    <t>Channel 0 Amplitude settings Action 50</t>
  </si>
  <si>
    <t>Channel 0 Delay settings Action 50</t>
  </si>
  <si>
    <t>Channel 0 Phase Offset settings Action 50</t>
  </si>
  <si>
    <r>
      <t xml:space="preserve">1, 2, 3, </t>
    </r>
    <r>
      <rPr>
        <sz val="11"/>
        <color rgb="FFFF0000"/>
        <rFont val="Calibri"/>
        <family val="2"/>
        <scheme val="minor"/>
      </rPr>
      <t>4</t>
    </r>
  </si>
  <si>
    <r>
      <t>1, 2, 3,</t>
    </r>
    <r>
      <rPr>
        <sz val="11"/>
        <color rgb="FFFF0000"/>
        <rFont val="Calibri"/>
        <family val="2"/>
        <scheme val="minor"/>
      </rPr>
      <t xml:space="preserve"> 4</t>
    </r>
  </si>
  <si>
    <t>[1] This register should only be written to when no actions are occurring.  Toggling Bit 3 initiates a read of the status and control registers of the DMA block.  This could cause adverse affects when capture/playback actions are occurring.</t>
  </si>
  <si>
    <t>FPGA Die Temperature</t>
  </si>
  <si>
    <t>Over Temperature Alarm: 1 = The measured die temperature is over a critical value</t>
  </si>
  <si>
    <t>VBRAM Alarm: 1 = The measured voltage is outside a pre-set +/- threshold</t>
  </si>
  <si>
    <t>VCCAUX Alarm: 1 = The measured voltage is outside a pre-set +/- threshold</t>
  </si>
  <si>
    <t>VCCINT Alarm: 1 = The measured voltage is outside a pre-set +/- threshold</t>
  </si>
  <si>
    <t>High Temperature Alarm: 1 = A measured die temperature over a set threshold</t>
  </si>
  <si>
    <t>Not Used / Reserved</t>
  </si>
  <si>
    <t>Trigger timeout Error:  When this bit is high there was a timeout waiting for the trigger</t>
  </si>
  <si>
    <r>
      <rPr>
        <b/>
        <sz val="11"/>
        <color theme="1"/>
        <rFont val="Calibri"/>
        <family val="2"/>
        <scheme val="minor"/>
      </rPr>
      <t>[1]</t>
    </r>
    <r>
      <rPr>
        <sz val="11"/>
        <color theme="1"/>
        <rFont val="Calibri"/>
        <family val="2"/>
        <scheme val="minor"/>
      </rPr>
      <t xml:space="preserve"> When the DDS state machine gets "stuck" waiting for a trigger after action commands have been received this bit will be set.  The timeout setting is programable -- see the Trigger Timeout register.  When timeout occurs the state machine will be set back to the the start of the PBP Mode state.  This bit will be cleared once the next "action commands sent signal" is recieved.</t>
    </r>
  </si>
  <si>
    <r>
      <rPr>
        <b/>
        <sz val="11"/>
        <color theme="1"/>
        <rFont val="Calibri"/>
        <family val="2"/>
        <scheme val="minor"/>
      </rPr>
      <t>[3]</t>
    </r>
    <r>
      <rPr>
        <sz val="11"/>
        <color theme="1"/>
        <rFont val="Calibri"/>
        <family val="2"/>
        <scheme val="minor"/>
      </rPr>
      <t xml:space="preserve"> There are two temperture alarms for FPGA Die temperature.  The high temp alarm is only an inidicator that die temperture is high but not critical.  The Over temperature alarm indicates a die temperature that could be potentially harmful to the device.  Current Thresholds are:
High Temp: Alarm Set = 85C Alarm turn off after set = 80C
Over Temp: Alarm Set = 120C Alarm turn off after set = 95C</t>
    </r>
  </si>
  <si>
    <r>
      <rPr>
        <b/>
        <sz val="11"/>
        <color theme="1"/>
        <rFont val="Calibri"/>
        <family val="2"/>
        <scheme val="minor"/>
      </rPr>
      <t>[4]</t>
    </r>
    <r>
      <rPr>
        <sz val="11"/>
        <color theme="1"/>
        <rFont val="Calibri"/>
        <family val="2"/>
        <scheme val="minor"/>
      </rPr>
      <t xml:space="preserve"> The currenlty set voltage thresholds are shown below:
VCCINT: Lower: 0.78 Upper 0.92 (nominal 0.85)
VCCAUX: Lower: 1.75 Upper 1.89 (nominal 1.8)
VBRAM: Lower: 0.78 Upper 0.92 (nominal 0.85)</t>
    </r>
  </si>
  <si>
    <r>
      <rPr>
        <b/>
        <sz val="11"/>
        <color theme="1"/>
        <rFont val="Calibri"/>
        <family val="2"/>
        <scheme val="minor"/>
      </rPr>
      <t>[5]</t>
    </r>
    <r>
      <rPr>
        <sz val="11"/>
        <color theme="1"/>
        <rFont val="Calibri"/>
        <family val="2"/>
        <scheme val="minor"/>
      </rPr>
      <t>:  Indicates writing to the DDR4 took too much time and data integrity is no longer guaranteed</t>
    </r>
  </si>
  <si>
    <r>
      <rPr>
        <b/>
        <sz val="11"/>
        <color theme="1"/>
        <rFont val="Calibri"/>
        <family val="2"/>
        <scheme val="minor"/>
      </rPr>
      <t xml:space="preserve">[2] </t>
    </r>
    <r>
      <rPr>
        <sz val="11"/>
        <color theme="1"/>
        <rFont val="Calibri"/>
        <family val="2"/>
        <scheme val="minor"/>
      </rPr>
      <t>Not implemented in the ZCU208 Evaluation board version (defaults are hardcoded)</t>
    </r>
  </si>
  <si>
    <t>Mode:  Operating mode of the channel simulator
00 = one shot 
01 = action command mode 
10 = Bypass Mode
11 = Emulation/Test mode</t>
  </si>
  <si>
    <t>[1] 
One shot mode:            Applies the one shot mode settings after a trigger one time (this is a test mode, still need to set load status).  
Action command mode: Allows up to 50 commands to be set and applied per trigger.  
Bypass mode:              Connects the ADC output to the DAC input.  This provided a minimal delay path through the CS module.
Emulation mode:          Generates an internal trigger and action load command based on the Trigger Period register. If the use extrnal
                                   trigger bit is set to 0 the on external trigger is needed but the commands loaded signal (bit4) will be generated 
                                   internally.
                                   NOTE: uses the action command registers</t>
  </si>
  <si>
    <t>Extender Card I/O select / Read DMA status (see read/write DMA status registers)</t>
  </si>
  <si>
    <t>U7 Spare 2 and Spare 3 to signal direction.  0 = input, 1 = output</t>
  </si>
  <si>
    <t>U7 Spare 1 and Spare 3 to signal direction.  0 = input, 1 = output</t>
  </si>
  <si>
    <t>b_00</t>
  </si>
  <si>
    <t>3..2</t>
  </si>
  <si>
    <t>U8 Spare 2 and Spare 3 to signal direction.  0 = input, 1 = output</t>
  </si>
  <si>
    <t>U8 Spare 1 and Spare 3 to signal direction.  0 = input, 1 = output</t>
  </si>
  <si>
    <t>7..6</t>
  </si>
  <si>
    <t>[4] By defualt this register is not continously updated as it requies interaction with the DMA AXI interface port.  To update the register value toggle bit 8 of register 30 (offset addr 0x0078) and wait for at least 200ns befoe reading this register.  This should ONLY be done when there are no active actions taking place.</t>
  </si>
  <si>
    <t>[1]: Set the I/O direction of the extender card level shifter for input to the FPGA or output from the FPGA.  The direction is grouped by pairs on these parts.
U7 is connected to SMAs J4 , J5, J6, and J7.
U8 is commented to dual inline connect J10.  It possible to use the signals on J10 as differential pairs but the current FPGA configuration uses them as single ended.</t>
  </si>
  <si>
    <t>U8 Extender card signal group select</t>
  </si>
  <si>
    <t>U7 Extender card signal group select</t>
  </si>
  <si>
    <t>[3]:  No signals connected in the current FPGA configuration</t>
  </si>
  <si>
    <t>Read the read sdie DMA status and control register</t>
  </si>
  <si>
    <t>Not used</t>
  </si>
  <si>
    <t>[2]: These bits select up to four different groups of signals to send out on the Extender card SMAs
Bits               J4                               J5                              J6                                J7
00:    Copy of Trigger      capture window   playback window   commds rcvd
01:    capture window    ADC FIFO read       DDR write time       RD FIFO to DDR          
10:    playback window  DAC FIFO write     DDR read time         WR FIFO from DDR
11:   buff overrun eror    trigger error          command errot       high temp alarm</t>
  </si>
  <si>
    <t>ADC value of the Die Temperature Voltage reading</t>
  </si>
  <si>
    <t>[1]: The following Equation can be used to calculate the Temperature in celcius based on the ADC count value.  Note:  Either the MSB 10-bits can used or the whole 16-bit value can be used for the below equaiton.  The ADCs are only 10-bit but the eniter 16-bits can used when averaging (averaging is set to 16 in the current design.</t>
  </si>
  <si>
    <t>[2]  For referance ONLY:  Voltage to the internal ADC:</t>
  </si>
  <si>
    <t>Read the write and read side DMA status and control registers</t>
  </si>
  <si>
    <t>[4] Toggleing this bit (0-&gt;1-&gt;0) and waiting 200ns will populate the DMA status and control registers.  See the tabs for registers 33 and 34 for detials.</t>
  </si>
  <si>
    <t>Command Error: 1 = Start or Stop end was past next PBP 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</si>
</sst>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theme="1"/>
      <name val="Arial"/>
      <family val="2"/>
    </font>
    <font>
      <b/>
      <u/>
      <sz val="11"/>
      <color theme="1"/>
      <name val="Calibri"/>
      <family val="2"/>
      <scheme val="minor"/>
    </font>
    <font>
      <b/>
      <u/>
      <sz val="10"/>
      <color theme="1"/>
      <name val="Arial"/>
      <family val="2"/>
    </font>
    <font>
      <b/>
      <sz val="11"/>
      <color theme="0"/>
      <name val="Calibri"/>
      <family val="2"/>
      <scheme val="minor"/>
    </font>
    <font>
      <b/>
      <sz val="10"/>
      <color theme="0"/>
      <name val="Arial"/>
      <family val="2"/>
    </font>
    <font>
      <sz val="11"/>
      <color theme="0"/>
      <name val="Calibri"/>
      <family val="2"/>
      <scheme val="minor"/>
    </font>
    <font>
      <sz val="11"/>
      <name val="Calibri"/>
      <family val="2"/>
      <scheme val="minor"/>
    </font>
    <font>
      <b/>
      <sz val="11"/>
      <name val="Calibri"/>
      <family val="2"/>
      <scheme val="minor"/>
    </font>
    <font>
      <b/>
      <sz val="11"/>
      <color theme="1"/>
      <name val="Calibri"/>
      <family val="2"/>
      <scheme val="minor"/>
    </font>
    <font>
      <sz val="11"/>
      <color rgb="FFFF0000"/>
      <name val="Calibri"/>
      <family val="2"/>
      <scheme val="minor"/>
    </font>
  </fonts>
  <fills count="6">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rgb="FF92D050"/>
        <bgColor indexed="64"/>
      </patternFill>
    </fill>
    <fill>
      <patternFill patternType="solid">
        <fgColor theme="0" tint="-0.149998474074526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5">
    <xf numFmtId="0" fontId="0" fillId="0" borderId="0" xfId="0"/>
    <xf numFmtId="0" fontId="0" fillId="0" borderId="0" xfId="0" applyAlignment="1">
      <alignment horizontal="left"/>
    </xf>
    <xf numFmtId="0" fontId="1" fillId="0" borderId="1" xfId="0" applyFont="1" applyBorder="1" applyAlignment="1">
      <alignment vertical="center" wrapText="1"/>
    </xf>
    <xf numFmtId="0" fontId="0" fillId="0" borderId="1" xfId="0" applyBorder="1" applyAlignment="1">
      <alignment horizontal="left"/>
    </xf>
    <xf numFmtId="0" fontId="0" fillId="0" borderId="1" xfId="0" applyBorder="1"/>
    <xf numFmtId="0" fontId="0" fillId="0" borderId="1" xfId="0" applyFill="1" applyBorder="1"/>
    <xf numFmtId="0" fontId="0" fillId="0" borderId="0" xfId="0" applyBorder="1"/>
    <xf numFmtId="0" fontId="0" fillId="0" borderId="0" xfId="0" applyFill="1"/>
    <xf numFmtId="0" fontId="1" fillId="0" borderId="0" xfId="0" applyFont="1" applyFill="1" applyBorder="1" applyAlignment="1">
      <alignment vertical="center" wrapText="1"/>
    </xf>
    <xf numFmtId="0" fontId="2" fillId="0" borderId="0" xfId="0" applyFont="1"/>
    <xf numFmtId="0" fontId="1" fillId="0" borderId="1" xfId="0" applyFont="1" applyFill="1" applyBorder="1" applyAlignment="1">
      <alignment vertical="center" wrapText="1"/>
    </xf>
    <xf numFmtId="0" fontId="0" fillId="0" borderId="0" xfId="0" applyBorder="1" applyAlignment="1">
      <alignment horizontal="left"/>
    </xf>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0" borderId="1" xfId="0" applyBorder="1" applyAlignment="1">
      <alignment horizontal="center"/>
    </xf>
    <xf numFmtId="0" fontId="3" fillId="0" borderId="0" xfId="0" applyFont="1" applyFill="1" applyBorder="1" applyAlignment="1">
      <alignment vertical="center" wrapText="1"/>
    </xf>
    <xf numFmtId="0" fontId="5" fillId="2" borderId="1" xfId="0" applyFont="1" applyFill="1" applyBorder="1" applyAlignment="1">
      <alignment horizontal="center" vertical="center" wrapText="1"/>
    </xf>
    <xf numFmtId="0" fontId="4" fillId="2" borderId="1" xfId="0" applyFont="1" applyFill="1" applyBorder="1"/>
    <xf numFmtId="0" fontId="1" fillId="3" borderId="1" xfId="0" applyFont="1" applyFill="1" applyBorder="1" applyAlignment="1">
      <alignment horizontal="left" vertical="center" wrapText="1"/>
    </xf>
    <xf numFmtId="0" fontId="0" fillId="3" borderId="1" xfId="0" applyFill="1" applyBorder="1"/>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0" fillId="3" borderId="1" xfId="0" applyFill="1" applyBorder="1" applyAlignment="1">
      <alignment horizontal="center"/>
    </xf>
    <xf numFmtId="0" fontId="0" fillId="0" borderId="1" xfId="0" applyFill="1" applyBorder="1" applyAlignment="1">
      <alignment horizontal="center"/>
    </xf>
    <xf numFmtId="0" fontId="0" fillId="3" borderId="1" xfId="0" applyFill="1" applyBorder="1" applyAlignment="1">
      <alignment wrapText="1"/>
    </xf>
    <xf numFmtId="0" fontId="1" fillId="0" borderId="1" xfId="0" applyFont="1" applyBorder="1" applyAlignment="1">
      <alignment horizontal="center" vertical="center" wrapText="1"/>
    </xf>
    <xf numFmtId="0" fontId="1" fillId="0" borderId="1" xfId="0" applyFont="1" applyFill="1" applyBorder="1" applyAlignment="1">
      <alignment horizontal="center" vertical="center" wrapText="1"/>
    </xf>
    <xf numFmtId="0" fontId="2" fillId="0" borderId="0" xfId="0" applyFont="1" applyAlignment="1">
      <alignment wrapText="1"/>
    </xf>
    <xf numFmtId="0" fontId="0" fillId="3" borderId="1" xfId="0" quotePrefix="1" applyFill="1" applyBorder="1" applyAlignment="1">
      <alignment horizontal="center"/>
    </xf>
    <xf numFmtId="0" fontId="6" fillId="0" borderId="0" xfId="0" applyFont="1"/>
    <xf numFmtId="0" fontId="7" fillId="0" borderId="1" xfId="0" applyFont="1" applyFill="1" applyBorder="1"/>
    <xf numFmtId="0" fontId="0" fillId="4" borderId="1" xfId="0" applyFill="1" applyBorder="1"/>
    <xf numFmtId="0" fontId="6" fillId="2" borderId="1" xfId="0" applyFont="1" applyFill="1" applyBorder="1" applyAlignment="1">
      <alignment horizontal="center"/>
    </xf>
    <xf numFmtId="0" fontId="0" fillId="3" borderId="1" xfId="0" applyFill="1" applyBorder="1" applyAlignment="1">
      <alignment horizontal="center" vertical="center"/>
    </xf>
    <xf numFmtId="0" fontId="0" fillId="0" borderId="0" xfId="0" applyFill="1" applyBorder="1" applyAlignment="1">
      <alignment horizontal="center" vertical="center"/>
    </xf>
    <xf numFmtId="0" fontId="0" fillId="0" borderId="1" xfId="0" applyFill="1" applyBorder="1" applyAlignment="1">
      <alignment horizontal="center" vertical="center"/>
    </xf>
    <xf numFmtId="0" fontId="0" fillId="0" borderId="5" xfId="0" applyFill="1" applyBorder="1"/>
    <xf numFmtId="0" fontId="0" fillId="0" borderId="2" xfId="0" applyBorder="1"/>
    <xf numFmtId="0" fontId="0" fillId="0" borderId="3" xfId="0" applyBorder="1"/>
    <xf numFmtId="0" fontId="9" fillId="0" borderId="3" xfId="0" applyFont="1" applyBorder="1" applyAlignment="1">
      <alignment wrapText="1"/>
    </xf>
    <xf numFmtId="0" fontId="0" fillId="0" borderId="4" xfId="0" applyBorder="1"/>
    <xf numFmtId="0" fontId="0" fillId="0" borderId="6" xfId="0" applyBorder="1"/>
    <xf numFmtId="0" fontId="0" fillId="0" borderId="6" xfId="0" applyFill="1" applyBorder="1"/>
    <xf numFmtId="0" fontId="0" fillId="0" borderId="0" xfId="0" applyAlignment="1">
      <alignment horizontal="center"/>
    </xf>
    <xf numFmtId="0" fontId="0" fillId="0" borderId="5" xfId="0" applyBorder="1"/>
    <xf numFmtId="0" fontId="0" fillId="0" borderId="6" xfId="0" applyBorder="1" applyAlignment="1">
      <alignment horizontal="center"/>
    </xf>
    <xf numFmtId="0" fontId="0" fillId="0" borderId="5" xfId="0" applyBorder="1" applyAlignment="1">
      <alignment horizontal="center"/>
    </xf>
    <xf numFmtId="0" fontId="10" fillId="0" borderId="0" xfId="0" applyFont="1" applyAlignment="1">
      <alignment wrapText="1"/>
    </xf>
    <xf numFmtId="0" fontId="10" fillId="3" borderId="1" xfId="0" applyFont="1" applyFill="1" applyBorder="1" applyAlignment="1">
      <alignment horizontal="center"/>
    </xf>
    <xf numFmtId="0" fontId="0" fillId="0" borderId="1" xfId="0" applyFill="1" applyBorder="1" applyAlignment="1">
      <alignment wrapText="1"/>
    </xf>
    <xf numFmtId="0" fontId="0" fillId="5" borderId="2" xfId="0" applyFill="1" applyBorder="1" applyAlignment="1">
      <alignment horizontal="left"/>
    </xf>
    <xf numFmtId="0" fontId="0" fillId="5" borderId="3" xfId="0" applyFill="1" applyBorder="1" applyAlignment="1">
      <alignment horizontal="left"/>
    </xf>
    <xf numFmtId="0" fontId="0" fillId="5" borderId="4" xfId="0" applyFill="1" applyBorder="1" applyAlignment="1">
      <alignment horizontal="left"/>
    </xf>
    <xf numFmtId="0" fontId="0" fillId="0" borderId="0"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266700</xdr:colOff>
      <xdr:row>7</xdr:row>
      <xdr:rowOff>66675</xdr:rowOff>
    </xdr:from>
    <xdr:to>
      <xdr:col>1</xdr:col>
      <xdr:colOff>4219575</xdr:colOff>
      <xdr:row>7</xdr:row>
      <xdr:rowOff>400050</xdr:rowOff>
    </xdr:to>
    <xdr:pic>
      <xdr:nvPicPr>
        <xdr:cNvPr id="2" name="Picture 1">
          <a:extLst>
            <a:ext uri="{FF2B5EF4-FFF2-40B4-BE49-F238E27FC236}">
              <a16:creationId xmlns:a16="http://schemas.microsoft.com/office/drawing/2014/main" id="{F0F08CBC-5FB1-490B-9DD7-3968C2508663}"/>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9650" y="1971675"/>
          <a:ext cx="39528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361950</xdr:colOff>
      <xdr:row>9</xdr:row>
      <xdr:rowOff>123825</xdr:rowOff>
    </xdr:from>
    <xdr:to>
      <xdr:col>1</xdr:col>
      <xdr:colOff>2171700</xdr:colOff>
      <xdr:row>9</xdr:row>
      <xdr:rowOff>485775</xdr:rowOff>
    </xdr:to>
    <xdr:pic>
      <xdr:nvPicPr>
        <xdr:cNvPr id="3" name="Picture 2">
          <a:extLst>
            <a:ext uri="{FF2B5EF4-FFF2-40B4-BE49-F238E27FC236}">
              <a16:creationId xmlns:a16="http://schemas.microsoft.com/office/drawing/2014/main" id="{258F5401-8D03-4D7E-BB80-8AD644CCA255}"/>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04900" y="2686050"/>
          <a:ext cx="18097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79"/>
  <sheetViews>
    <sheetView tabSelected="1" workbookViewId="0">
      <selection activeCell="B1" sqref="B1"/>
    </sheetView>
  </sheetViews>
  <sheetFormatPr defaultRowHeight="15" x14ac:dyDescent="0.25"/>
  <cols>
    <col min="1" max="1" width="4.28515625" customWidth="1"/>
    <col min="2" max="2" width="11.140625" customWidth="1"/>
    <col min="3" max="3" width="20.85546875" customWidth="1"/>
    <col min="4" max="4" width="73.28515625" customWidth="1"/>
    <col min="5" max="5" width="13.42578125" customWidth="1"/>
    <col min="6" max="6" width="15.28515625" customWidth="1"/>
    <col min="7" max="7" width="22.5703125" customWidth="1"/>
  </cols>
  <sheetData>
    <row r="2" spans="2:10" x14ac:dyDescent="0.25">
      <c r="B2" s="18" t="s">
        <v>31</v>
      </c>
      <c r="C2" s="18" t="s">
        <v>29</v>
      </c>
      <c r="D2" s="18" t="s">
        <v>3</v>
      </c>
      <c r="E2" s="18" t="s">
        <v>18</v>
      </c>
      <c r="G2" s="31" t="s">
        <v>153</v>
      </c>
      <c r="H2" s="32">
        <v>50</v>
      </c>
    </row>
    <row r="3" spans="2:10" x14ac:dyDescent="0.25">
      <c r="B3" s="15">
        <v>0</v>
      </c>
      <c r="C3" s="4" t="str">
        <f>"0x"&amp;DEC2HEX((B3)*4,4)</f>
        <v>0x0000</v>
      </c>
      <c r="D3" s="4" t="s">
        <v>19</v>
      </c>
      <c r="E3" s="4" t="s">
        <v>17</v>
      </c>
    </row>
    <row r="4" spans="2:10" x14ac:dyDescent="0.25">
      <c r="B4" s="15">
        <f>1+B3</f>
        <v>1</v>
      </c>
      <c r="C4" s="4" t="str">
        <f t="shared" ref="C4:C42" si="0">"0x"&amp;DEC2HEX((B4)*4,4)</f>
        <v>0x0004</v>
      </c>
      <c r="D4" s="4" t="s">
        <v>22</v>
      </c>
      <c r="E4" s="4" t="s">
        <v>17</v>
      </c>
      <c r="F4" s="7"/>
    </row>
    <row r="5" spans="2:10" x14ac:dyDescent="0.25">
      <c r="B5" s="15">
        <f t="shared" ref="B5:B42" si="1">1+B4</f>
        <v>2</v>
      </c>
      <c r="C5" s="4" t="str">
        <f t="shared" si="0"/>
        <v>0x0008</v>
      </c>
      <c r="D5" s="4" t="s">
        <v>25</v>
      </c>
      <c r="E5" s="4" t="s">
        <v>26</v>
      </c>
      <c r="F5" s="7"/>
    </row>
    <row r="6" spans="2:10" x14ac:dyDescent="0.25">
      <c r="B6" s="15">
        <f t="shared" si="1"/>
        <v>3</v>
      </c>
      <c r="C6" s="4" t="str">
        <f t="shared" si="0"/>
        <v>0x000C</v>
      </c>
      <c r="D6" s="4" t="s">
        <v>64</v>
      </c>
      <c r="E6" s="4" t="s">
        <v>21</v>
      </c>
    </row>
    <row r="7" spans="2:10" x14ac:dyDescent="0.25">
      <c r="B7" s="15">
        <f t="shared" si="1"/>
        <v>4</v>
      </c>
      <c r="C7" s="4" t="str">
        <f t="shared" si="0"/>
        <v>0x0010</v>
      </c>
      <c r="D7" s="4" t="s">
        <v>65</v>
      </c>
      <c r="E7" s="4" t="s">
        <v>21</v>
      </c>
      <c r="I7" s="6"/>
      <c r="J7" s="6"/>
    </row>
    <row r="8" spans="2:10" x14ac:dyDescent="0.25">
      <c r="B8" s="15">
        <f t="shared" si="1"/>
        <v>5</v>
      </c>
      <c r="C8" s="4" t="str">
        <f t="shared" si="0"/>
        <v>0x0014</v>
      </c>
      <c r="D8" s="4" t="s">
        <v>66</v>
      </c>
      <c r="E8" s="4" t="s">
        <v>21</v>
      </c>
      <c r="I8" s="6"/>
      <c r="J8" s="6"/>
    </row>
    <row r="9" spans="2:10" x14ac:dyDescent="0.25">
      <c r="B9" s="15">
        <f t="shared" si="1"/>
        <v>6</v>
      </c>
      <c r="C9" s="4" t="str">
        <f t="shared" si="0"/>
        <v>0x0018</v>
      </c>
      <c r="D9" s="4" t="s">
        <v>67</v>
      </c>
      <c r="E9" s="4" t="s">
        <v>21</v>
      </c>
      <c r="I9" s="6"/>
      <c r="J9" s="6"/>
    </row>
    <row r="10" spans="2:10" x14ac:dyDescent="0.25">
      <c r="B10" s="15">
        <f t="shared" si="1"/>
        <v>7</v>
      </c>
      <c r="C10" s="4" t="str">
        <f t="shared" si="0"/>
        <v>0x001C</v>
      </c>
      <c r="D10" s="4" t="s">
        <v>68</v>
      </c>
      <c r="E10" s="4" t="s">
        <v>21</v>
      </c>
      <c r="F10" s="7"/>
      <c r="I10" s="6"/>
      <c r="J10" s="6"/>
    </row>
    <row r="11" spans="2:10" x14ac:dyDescent="0.25">
      <c r="B11" s="15">
        <f t="shared" si="1"/>
        <v>8</v>
      </c>
      <c r="C11" s="4" t="str">
        <f t="shared" si="0"/>
        <v>0x0020</v>
      </c>
      <c r="D11" s="4" t="s">
        <v>27</v>
      </c>
      <c r="E11" s="4" t="s">
        <v>21</v>
      </c>
      <c r="I11" s="6"/>
      <c r="J11" s="6"/>
    </row>
    <row r="12" spans="2:10" x14ac:dyDescent="0.25">
      <c r="B12" s="15">
        <f t="shared" si="1"/>
        <v>9</v>
      </c>
      <c r="C12" s="4" t="str">
        <f t="shared" si="0"/>
        <v>0x0024</v>
      </c>
      <c r="D12" s="4" t="s">
        <v>27</v>
      </c>
      <c r="E12" s="4" t="s">
        <v>21</v>
      </c>
    </row>
    <row r="13" spans="2:10" x14ac:dyDescent="0.25">
      <c r="B13" s="15">
        <f t="shared" si="1"/>
        <v>10</v>
      </c>
      <c r="C13" s="4" t="str">
        <f t="shared" si="0"/>
        <v>0x0028</v>
      </c>
      <c r="D13" s="4" t="s">
        <v>27</v>
      </c>
      <c r="E13" s="4" t="s">
        <v>21</v>
      </c>
    </row>
    <row r="14" spans="2:10" x14ac:dyDescent="0.25">
      <c r="B14" s="15">
        <f t="shared" si="1"/>
        <v>11</v>
      </c>
      <c r="C14" s="4" t="str">
        <f t="shared" si="0"/>
        <v>0x002C</v>
      </c>
      <c r="D14" s="4" t="s">
        <v>69</v>
      </c>
      <c r="E14" s="4" t="s">
        <v>21</v>
      </c>
      <c r="G14" t="s">
        <v>62</v>
      </c>
      <c r="H14" s="6"/>
    </row>
    <row r="15" spans="2:10" x14ac:dyDescent="0.25">
      <c r="B15" s="15">
        <f t="shared" si="1"/>
        <v>12</v>
      </c>
      <c r="C15" s="4" t="str">
        <f t="shared" si="0"/>
        <v>0x0030</v>
      </c>
      <c r="D15" s="4" t="s">
        <v>92</v>
      </c>
      <c r="E15" s="4" t="s">
        <v>21</v>
      </c>
      <c r="H15" s="6"/>
    </row>
    <row r="16" spans="2:10" x14ac:dyDescent="0.25">
      <c r="B16" s="15">
        <f t="shared" si="1"/>
        <v>13</v>
      </c>
      <c r="C16" s="4" t="str">
        <f t="shared" si="0"/>
        <v>0x0034</v>
      </c>
      <c r="D16" s="4" t="s">
        <v>70</v>
      </c>
      <c r="E16" s="4" t="s">
        <v>21</v>
      </c>
      <c r="H16" s="6"/>
    </row>
    <row r="17" spans="2:8" x14ac:dyDescent="0.25">
      <c r="B17" s="15">
        <f t="shared" si="1"/>
        <v>14</v>
      </c>
      <c r="C17" s="4" t="str">
        <f t="shared" si="0"/>
        <v>0x0038</v>
      </c>
      <c r="D17" s="4" t="s">
        <v>71</v>
      </c>
      <c r="E17" s="4" t="s">
        <v>21</v>
      </c>
      <c r="H17" s="6"/>
    </row>
    <row r="18" spans="2:8" x14ac:dyDescent="0.25">
      <c r="B18" s="15">
        <f t="shared" si="1"/>
        <v>15</v>
      </c>
      <c r="C18" s="4" t="str">
        <f t="shared" si="0"/>
        <v>0x003C</v>
      </c>
      <c r="D18" s="4" t="s">
        <v>63</v>
      </c>
      <c r="E18" s="4" t="s">
        <v>21</v>
      </c>
      <c r="H18" s="6"/>
    </row>
    <row r="19" spans="2:8" x14ac:dyDescent="0.25">
      <c r="B19" s="15">
        <f t="shared" si="1"/>
        <v>16</v>
      </c>
      <c r="C19" s="4" t="str">
        <f t="shared" si="0"/>
        <v>0x0040</v>
      </c>
      <c r="D19" s="4" t="s">
        <v>27</v>
      </c>
      <c r="E19" s="4" t="s">
        <v>21</v>
      </c>
    </row>
    <row r="20" spans="2:8" x14ac:dyDescent="0.25">
      <c r="B20" s="15">
        <f t="shared" si="1"/>
        <v>17</v>
      </c>
      <c r="C20" s="4" t="str">
        <f t="shared" si="0"/>
        <v>0x0044</v>
      </c>
      <c r="D20" s="4" t="s">
        <v>27</v>
      </c>
      <c r="E20" s="4" t="s">
        <v>21</v>
      </c>
    </row>
    <row r="21" spans="2:8" x14ac:dyDescent="0.25">
      <c r="B21" s="15">
        <f t="shared" si="1"/>
        <v>18</v>
      </c>
      <c r="C21" s="4" t="str">
        <f t="shared" si="0"/>
        <v>0x0048</v>
      </c>
      <c r="D21" s="4" t="s">
        <v>27</v>
      </c>
      <c r="E21" s="4" t="s">
        <v>21</v>
      </c>
    </row>
    <row r="22" spans="2:8" x14ac:dyDescent="0.25">
      <c r="B22" s="15">
        <f t="shared" si="1"/>
        <v>19</v>
      </c>
      <c r="C22" s="4" t="str">
        <f t="shared" si="0"/>
        <v>0x004C</v>
      </c>
      <c r="D22" s="5" t="s">
        <v>27</v>
      </c>
      <c r="E22" s="4"/>
    </row>
    <row r="23" spans="2:8" x14ac:dyDescent="0.25">
      <c r="B23" s="15">
        <f t="shared" si="1"/>
        <v>20</v>
      </c>
      <c r="C23" s="4" t="str">
        <f t="shared" si="0"/>
        <v>0x0050</v>
      </c>
      <c r="D23" s="4" t="s">
        <v>27</v>
      </c>
      <c r="E23" s="4"/>
    </row>
    <row r="24" spans="2:8" x14ac:dyDescent="0.25">
      <c r="B24" s="15">
        <f t="shared" si="1"/>
        <v>21</v>
      </c>
      <c r="C24" s="4" t="str">
        <f t="shared" si="0"/>
        <v>0x0054</v>
      </c>
      <c r="D24" s="4" t="s">
        <v>27</v>
      </c>
      <c r="E24" s="4"/>
    </row>
    <row r="25" spans="2:8" x14ac:dyDescent="0.25">
      <c r="B25" s="15">
        <f t="shared" si="1"/>
        <v>22</v>
      </c>
      <c r="C25" s="4" t="str">
        <f t="shared" si="0"/>
        <v>0x0058</v>
      </c>
      <c r="D25" s="4" t="s">
        <v>27</v>
      </c>
      <c r="E25" s="4"/>
    </row>
    <row r="26" spans="2:8" x14ac:dyDescent="0.25">
      <c r="B26" s="15">
        <f t="shared" si="1"/>
        <v>23</v>
      </c>
      <c r="C26" s="4" t="str">
        <f t="shared" si="0"/>
        <v>0x005C</v>
      </c>
      <c r="D26" s="4" t="s">
        <v>27</v>
      </c>
      <c r="E26" s="4"/>
    </row>
    <row r="27" spans="2:8" x14ac:dyDescent="0.25">
      <c r="B27" s="15">
        <f t="shared" si="1"/>
        <v>24</v>
      </c>
      <c r="C27" s="4" t="str">
        <f t="shared" si="0"/>
        <v>0x0060</v>
      </c>
      <c r="D27" s="4" t="s">
        <v>27</v>
      </c>
      <c r="E27" s="4"/>
    </row>
    <row r="28" spans="2:8" x14ac:dyDescent="0.25">
      <c r="B28" s="15">
        <f t="shared" si="1"/>
        <v>25</v>
      </c>
      <c r="C28" s="4" t="str">
        <f t="shared" si="0"/>
        <v>0x0064</v>
      </c>
      <c r="D28" s="4" t="s">
        <v>27</v>
      </c>
      <c r="E28" s="4"/>
    </row>
    <row r="29" spans="2:8" x14ac:dyDescent="0.25">
      <c r="B29" s="15">
        <f t="shared" si="1"/>
        <v>26</v>
      </c>
      <c r="C29" s="4" t="str">
        <f t="shared" si="0"/>
        <v>0x0068</v>
      </c>
      <c r="D29" s="4" t="s">
        <v>27</v>
      </c>
      <c r="E29" s="4"/>
    </row>
    <row r="30" spans="2:8" x14ac:dyDescent="0.25">
      <c r="B30" s="15">
        <f t="shared" si="1"/>
        <v>27</v>
      </c>
      <c r="C30" s="4" t="str">
        <f t="shared" si="0"/>
        <v>0x006C</v>
      </c>
      <c r="D30" s="5" t="s">
        <v>27</v>
      </c>
      <c r="E30" s="4"/>
    </row>
    <row r="31" spans="2:8" x14ac:dyDescent="0.25">
      <c r="B31" s="15">
        <f t="shared" si="1"/>
        <v>28</v>
      </c>
      <c r="C31" s="4" t="str">
        <f t="shared" si="0"/>
        <v>0x0070</v>
      </c>
      <c r="D31" s="4" t="s">
        <v>27</v>
      </c>
      <c r="E31" s="4"/>
    </row>
    <row r="32" spans="2:8" x14ac:dyDescent="0.25">
      <c r="B32" s="15">
        <f t="shared" si="1"/>
        <v>29</v>
      </c>
      <c r="C32" s="4" t="str">
        <f t="shared" si="0"/>
        <v>0x0074</v>
      </c>
      <c r="D32" s="4" t="s">
        <v>27</v>
      </c>
      <c r="E32" s="4"/>
    </row>
    <row r="33" spans="1:7" x14ac:dyDescent="0.25">
      <c r="B33" s="15">
        <f t="shared" si="1"/>
        <v>30</v>
      </c>
      <c r="C33" s="4" t="str">
        <f t="shared" si="0"/>
        <v>0x0078</v>
      </c>
      <c r="D33" s="4" t="s">
        <v>204</v>
      </c>
      <c r="E33" s="4" t="s">
        <v>21</v>
      </c>
    </row>
    <row r="34" spans="1:7" x14ac:dyDescent="0.25">
      <c r="B34" s="15">
        <f t="shared" si="1"/>
        <v>31</v>
      </c>
      <c r="C34" s="4" t="str">
        <f t="shared" si="0"/>
        <v>0x007C</v>
      </c>
      <c r="D34" s="4" t="s">
        <v>189</v>
      </c>
      <c r="E34" s="4" t="s">
        <v>17</v>
      </c>
    </row>
    <row r="35" spans="1:7" x14ac:dyDescent="0.25">
      <c r="B35" s="15">
        <f t="shared" si="1"/>
        <v>32</v>
      </c>
      <c r="C35" s="4" t="str">
        <f t="shared" si="0"/>
        <v>0x0080</v>
      </c>
      <c r="D35" s="4" t="s">
        <v>83</v>
      </c>
      <c r="E35" s="4" t="s">
        <v>17</v>
      </c>
    </row>
    <row r="36" spans="1:7" x14ac:dyDescent="0.25">
      <c r="B36" s="15">
        <f t="shared" si="1"/>
        <v>33</v>
      </c>
      <c r="C36" s="4" t="str">
        <f t="shared" si="0"/>
        <v>0x0084</v>
      </c>
      <c r="D36" s="4" t="s">
        <v>81</v>
      </c>
      <c r="E36" s="4" t="s">
        <v>17</v>
      </c>
    </row>
    <row r="37" spans="1:7" x14ac:dyDescent="0.25">
      <c r="B37" s="15">
        <f t="shared" si="1"/>
        <v>34</v>
      </c>
      <c r="C37" s="4" t="str">
        <f t="shared" si="0"/>
        <v>0x0088</v>
      </c>
      <c r="D37" s="4" t="s">
        <v>80</v>
      </c>
      <c r="E37" s="4" t="s">
        <v>17</v>
      </c>
    </row>
    <row r="38" spans="1:7" x14ac:dyDescent="0.25">
      <c r="B38" s="15">
        <f t="shared" si="1"/>
        <v>35</v>
      </c>
      <c r="C38" s="4" t="str">
        <f t="shared" si="0"/>
        <v>0x008C</v>
      </c>
      <c r="D38" s="4" t="s">
        <v>82</v>
      </c>
      <c r="E38" s="4" t="s">
        <v>17</v>
      </c>
    </row>
    <row r="39" spans="1:7" x14ac:dyDescent="0.25">
      <c r="B39" s="15">
        <f t="shared" si="1"/>
        <v>36</v>
      </c>
      <c r="C39" s="4" t="str">
        <f t="shared" si="0"/>
        <v>0x0090</v>
      </c>
      <c r="D39" s="4" t="s">
        <v>78</v>
      </c>
      <c r="E39" s="4" t="s">
        <v>21</v>
      </c>
    </row>
    <row r="40" spans="1:7" x14ac:dyDescent="0.25">
      <c r="B40" s="15">
        <f t="shared" si="1"/>
        <v>37</v>
      </c>
      <c r="C40" s="4" t="str">
        <f t="shared" si="0"/>
        <v>0x0094</v>
      </c>
      <c r="D40" s="4" t="s">
        <v>75</v>
      </c>
      <c r="E40" s="4" t="s">
        <v>21</v>
      </c>
    </row>
    <row r="41" spans="1:7" x14ac:dyDescent="0.25">
      <c r="B41" s="15">
        <f t="shared" si="1"/>
        <v>38</v>
      </c>
      <c r="C41" s="4" t="str">
        <f t="shared" si="0"/>
        <v>0x0098</v>
      </c>
      <c r="D41" s="4" t="s">
        <v>74</v>
      </c>
      <c r="E41" s="4" t="s">
        <v>21</v>
      </c>
    </row>
    <row r="42" spans="1:7" x14ac:dyDescent="0.25">
      <c r="B42" s="15">
        <f t="shared" si="1"/>
        <v>39</v>
      </c>
      <c r="C42" s="4" t="str">
        <f t="shared" si="0"/>
        <v>0x009C</v>
      </c>
      <c r="D42" s="5" t="s">
        <v>93</v>
      </c>
      <c r="E42" s="4" t="s">
        <v>21</v>
      </c>
    </row>
    <row r="43" spans="1:7" x14ac:dyDescent="0.25">
      <c r="B43" s="51" t="s">
        <v>28</v>
      </c>
      <c r="C43" s="52"/>
      <c r="D43" s="52"/>
      <c r="E43" s="53"/>
    </row>
    <row r="44" spans="1:7" x14ac:dyDescent="0.25">
      <c r="B44" s="15">
        <f>1+B42</f>
        <v>40</v>
      </c>
      <c r="C44" s="4" t="str">
        <f t="shared" ref="C44:C57" si="2">"0x"&amp;DEC2HEX((B44)*4,4)</f>
        <v>0x00A0</v>
      </c>
      <c r="D44" s="5" t="s">
        <v>72</v>
      </c>
      <c r="E44" s="4" t="s">
        <v>21</v>
      </c>
    </row>
    <row r="45" spans="1:7" x14ac:dyDescent="0.25">
      <c r="B45" s="15">
        <f>1+B44</f>
        <v>41</v>
      </c>
      <c r="C45" s="4" t="str">
        <f t="shared" si="2"/>
        <v>0x00A4</v>
      </c>
      <c r="D45" s="5" t="s">
        <v>170</v>
      </c>
      <c r="E45" s="4" t="s">
        <v>21</v>
      </c>
      <c r="F45" s="7"/>
    </row>
    <row r="46" spans="1:7" x14ac:dyDescent="0.25">
      <c r="B46" s="15">
        <f>1+B45</f>
        <v>42</v>
      </c>
      <c r="C46" s="4" t="str">
        <f t="shared" si="2"/>
        <v>0x00A8</v>
      </c>
      <c r="D46" s="5" t="s">
        <v>27</v>
      </c>
      <c r="E46" s="4" t="s">
        <v>36</v>
      </c>
    </row>
    <row r="47" spans="1:7" x14ac:dyDescent="0.25">
      <c r="B47" s="15">
        <f>1+B46</f>
        <v>43</v>
      </c>
      <c r="C47" s="4" t="str">
        <f t="shared" si="2"/>
        <v>0x00AC</v>
      </c>
      <c r="D47" s="5" t="s">
        <v>27</v>
      </c>
      <c r="E47" s="4" t="s">
        <v>36</v>
      </c>
      <c r="G47" s="44"/>
    </row>
    <row r="48" spans="1:7" x14ac:dyDescent="0.25">
      <c r="A48" s="30">
        <v>0</v>
      </c>
      <c r="B48" s="15">
        <f t="shared" ref="B48:B57" si="3">1+B47</f>
        <v>44</v>
      </c>
      <c r="C48" s="4" t="str">
        <f t="shared" si="2"/>
        <v>0x00B0</v>
      </c>
      <c r="D48" s="5" t="s">
        <v>171</v>
      </c>
      <c r="E48" s="4" t="s">
        <v>21</v>
      </c>
    </row>
    <row r="49" spans="1:5" x14ac:dyDescent="0.25">
      <c r="A49" s="30">
        <f>A48+1</f>
        <v>1</v>
      </c>
      <c r="B49" s="15">
        <f t="shared" si="3"/>
        <v>45</v>
      </c>
      <c r="C49" s="4" t="str">
        <f t="shared" si="2"/>
        <v>0x00B4</v>
      </c>
      <c r="D49" s="5" t="s">
        <v>172</v>
      </c>
      <c r="E49" s="4" t="s">
        <v>21</v>
      </c>
    </row>
    <row r="50" spans="1:5" x14ac:dyDescent="0.25">
      <c r="A50" s="30">
        <f t="shared" ref="A50:A57" si="4">A49+1</f>
        <v>2</v>
      </c>
      <c r="B50" s="15">
        <f t="shared" si="3"/>
        <v>46</v>
      </c>
      <c r="C50" s="4" t="str">
        <f t="shared" si="2"/>
        <v>0x00B8</v>
      </c>
      <c r="D50" s="5" t="s">
        <v>173</v>
      </c>
      <c r="E50" s="4" t="s">
        <v>21</v>
      </c>
    </row>
    <row r="51" spans="1:5" x14ac:dyDescent="0.25">
      <c r="A51" s="30">
        <f t="shared" si="4"/>
        <v>3</v>
      </c>
      <c r="B51" s="15">
        <f t="shared" si="3"/>
        <v>47</v>
      </c>
      <c r="C51" s="4" t="str">
        <f t="shared" si="2"/>
        <v>0x00BC</v>
      </c>
      <c r="D51" s="5" t="s">
        <v>174</v>
      </c>
      <c r="E51" s="4" t="s">
        <v>21</v>
      </c>
    </row>
    <row r="52" spans="1:5" x14ac:dyDescent="0.25">
      <c r="A52" s="30">
        <f t="shared" si="4"/>
        <v>4</v>
      </c>
      <c r="B52" s="15">
        <f t="shared" si="3"/>
        <v>48</v>
      </c>
      <c r="C52" s="4" t="str">
        <f t="shared" si="2"/>
        <v>0x00C0</v>
      </c>
      <c r="D52" s="5" t="s">
        <v>175</v>
      </c>
      <c r="E52" s="4" t="s">
        <v>21</v>
      </c>
    </row>
    <row r="53" spans="1:5" x14ac:dyDescent="0.25">
      <c r="A53" s="30">
        <f t="shared" si="4"/>
        <v>5</v>
      </c>
      <c r="B53" s="15">
        <f t="shared" si="3"/>
        <v>49</v>
      </c>
      <c r="C53" s="4" t="str">
        <f t="shared" si="2"/>
        <v>0x00C4</v>
      </c>
      <c r="D53" s="5" t="s">
        <v>176</v>
      </c>
      <c r="E53" s="4" t="s">
        <v>21</v>
      </c>
    </row>
    <row r="54" spans="1:5" x14ac:dyDescent="0.25">
      <c r="A54" s="30">
        <f t="shared" si="4"/>
        <v>6</v>
      </c>
      <c r="B54" s="15">
        <f t="shared" si="3"/>
        <v>50</v>
      </c>
      <c r="C54" s="4" t="str">
        <f t="shared" si="2"/>
        <v>0x00C8</v>
      </c>
      <c r="D54" s="5" t="s">
        <v>177</v>
      </c>
      <c r="E54" s="4" t="s">
        <v>21</v>
      </c>
    </row>
    <row r="55" spans="1:5" x14ac:dyDescent="0.25">
      <c r="A55" s="30">
        <f t="shared" si="4"/>
        <v>7</v>
      </c>
      <c r="B55" s="15">
        <f t="shared" si="3"/>
        <v>51</v>
      </c>
      <c r="C55" s="4" t="str">
        <f t="shared" si="2"/>
        <v>0x00CC</v>
      </c>
      <c r="D55" s="5" t="s">
        <v>178</v>
      </c>
      <c r="E55" s="4" t="s">
        <v>21</v>
      </c>
    </row>
    <row r="56" spans="1:5" x14ac:dyDescent="0.25">
      <c r="A56" s="30">
        <f t="shared" si="4"/>
        <v>8</v>
      </c>
      <c r="B56" s="15">
        <f t="shared" si="3"/>
        <v>52</v>
      </c>
      <c r="C56" s="4" t="str">
        <f t="shared" si="2"/>
        <v>0x00D0</v>
      </c>
      <c r="D56" s="5" t="s">
        <v>179</v>
      </c>
      <c r="E56" s="4" t="s">
        <v>21</v>
      </c>
    </row>
    <row r="57" spans="1:5" x14ac:dyDescent="0.25">
      <c r="A57" s="30">
        <f t="shared" si="4"/>
        <v>9</v>
      </c>
      <c r="B57" s="15">
        <f t="shared" si="3"/>
        <v>53</v>
      </c>
      <c r="C57" s="4" t="str">
        <f t="shared" si="2"/>
        <v>0x00D4</v>
      </c>
      <c r="D57" s="5" t="s">
        <v>180</v>
      </c>
      <c r="E57" s="4" t="s">
        <v>21</v>
      </c>
    </row>
    <row r="58" spans="1:5" ht="45" x14ac:dyDescent="0.25">
      <c r="B58" s="38"/>
      <c r="C58" s="39"/>
      <c r="D58" s="40" t="s">
        <v>169</v>
      </c>
      <c r="E58" s="41"/>
    </row>
    <row r="59" spans="1:5" x14ac:dyDescent="0.25">
      <c r="B59" s="15">
        <v>289</v>
      </c>
      <c r="C59" s="4" t="str">
        <f>"0x"&amp;DEC2HEX((B59)*4,4)</f>
        <v>0x0484</v>
      </c>
      <c r="D59" s="37" t="s">
        <v>181</v>
      </c>
      <c r="E59" s="4" t="s">
        <v>21</v>
      </c>
    </row>
    <row r="60" spans="1:5" x14ac:dyDescent="0.25">
      <c r="B60" s="15">
        <f>1+B59</f>
        <v>290</v>
      </c>
      <c r="C60" s="4" t="str">
        <f t="shared" ref="C60:C79" si="5">"0x"&amp;DEC2HEX((B60)*4,4)</f>
        <v>0x0488</v>
      </c>
      <c r="D60" s="5" t="s">
        <v>182</v>
      </c>
      <c r="E60" s="4" t="s">
        <v>21</v>
      </c>
    </row>
    <row r="61" spans="1:5" x14ac:dyDescent="0.25">
      <c r="B61" s="15">
        <f t="shared" ref="B61:B73" si="6">1+B60</f>
        <v>291</v>
      </c>
      <c r="C61" s="4" t="str">
        <f t="shared" si="5"/>
        <v>0x048C</v>
      </c>
      <c r="D61" s="5" t="s">
        <v>183</v>
      </c>
      <c r="E61" s="4" t="s">
        <v>21</v>
      </c>
    </row>
    <row r="62" spans="1:5" x14ac:dyDescent="0.25">
      <c r="B62" s="15">
        <f t="shared" si="6"/>
        <v>292</v>
      </c>
      <c r="C62" s="4" t="str">
        <f t="shared" si="5"/>
        <v>0x0490</v>
      </c>
      <c r="D62" s="5" t="s">
        <v>184</v>
      </c>
      <c r="E62" s="4" t="s">
        <v>21</v>
      </c>
    </row>
    <row r="63" spans="1:5" x14ac:dyDescent="0.25">
      <c r="B63" s="15">
        <f t="shared" si="6"/>
        <v>293</v>
      </c>
      <c r="C63" s="4" t="str">
        <f t="shared" si="5"/>
        <v>0x0494</v>
      </c>
      <c r="D63" s="5" t="s">
        <v>185</v>
      </c>
      <c r="E63" s="4" t="s">
        <v>21</v>
      </c>
    </row>
    <row r="64" spans="1:5" x14ac:dyDescent="0.25">
      <c r="B64" s="15">
        <f t="shared" si="6"/>
        <v>294</v>
      </c>
      <c r="C64" s="4" t="str">
        <f t="shared" si="5"/>
        <v>0x0498</v>
      </c>
      <c r="D64" s="5" t="s">
        <v>168</v>
      </c>
      <c r="E64" s="4" t="s">
        <v>21</v>
      </c>
    </row>
    <row r="65" spans="2:5" x14ac:dyDescent="0.25">
      <c r="B65" s="15">
        <f t="shared" si="6"/>
        <v>295</v>
      </c>
      <c r="C65" s="4" t="str">
        <f t="shared" si="5"/>
        <v>0x049C</v>
      </c>
      <c r="D65" s="5" t="s">
        <v>154</v>
      </c>
      <c r="E65" s="4" t="s">
        <v>21</v>
      </c>
    </row>
    <row r="66" spans="2:5" x14ac:dyDescent="0.25">
      <c r="B66" s="15">
        <f t="shared" si="6"/>
        <v>296</v>
      </c>
      <c r="C66" s="4" t="str">
        <f t="shared" si="5"/>
        <v>0x04A0</v>
      </c>
      <c r="D66" s="5" t="s">
        <v>155</v>
      </c>
      <c r="E66" s="4" t="s">
        <v>21</v>
      </c>
    </row>
    <row r="67" spans="2:5" x14ac:dyDescent="0.25">
      <c r="B67" s="15">
        <f t="shared" si="6"/>
        <v>297</v>
      </c>
      <c r="C67" s="4" t="str">
        <f t="shared" si="5"/>
        <v>0x04A4</v>
      </c>
      <c r="D67" s="5" t="s">
        <v>156</v>
      </c>
      <c r="E67" s="4" t="s">
        <v>21</v>
      </c>
    </row>
    <row r="68" spans="2:5" x14ac:dyDescent="0.25">
      <c r="B68" s="15">
        <f t="shared" si="6"/>
        <v>298</v>
      </c>
      <c r="C68" s="4" t="str">
        <f t="shared" si="5"/>
        <v>0x04A8</v>
      </c>
      <c r="D68" s="5" t="s">
        <v>157</v>
      </c>
      <c r="E68" s="4" t="s">
        <v>21</v>
      </c>
    </row>
    <row r="69" spans="2:5" x14ac:dyDescent="0.25">
      <c r="B69" s="15">
        <f t="shared" si="6"/>
        <v>299</v>
      </c>
      <c r="C69" s="4" t="str">
        <f t="shared" si="5"/>
        <v>0x04AC</v>
      </c>
      <c r="D69" s="5" t="s">
        <v>158</v>
      </c>
      <c r="E69" s="4" t="s">
        <v>21</v>
      </c>
    </row>
    <row r="70" spans="2:5" x14ac:dyDescent="0.25">
      <c r="B70" s="15">
        <f t="shared" si="6"/>
        <v>300</v>
      </c>
      <c r="C70" s="4" t="str">
        <f t="shared" si="5"/>
        <v>0x04B0</v>
      </c>
      <c r="D70" s="5" t="s">
        <v>159</v>
      </c>
      <c r="E70" s="4" t="s">
        <v>21</v>
      </c>
    </row>
    <row r="71" spans="2:5" x14ac:dyDescent="0.25">
      <c r="B71" s="15">
        <f t="shared" si="6"/>
        <v>301</v>
      </c>
      <c r="C71" s="4" t="str">
        <f t="shared" si="5"/>
        <v>0x04B4</v>
      </c>
      <c r="D71" s="5" t="s">
        <v>160</v>
      </c>
      <c r="E71" s="4" t="s">
        <v>21</v>
      </c>
    </row>
    <row r="72" spans="2:5" x14ac:dyDescent="0.25">
      <c r="B72" s="15">
        <f t="shared" si="6"/>
        <v>302</v>
      </c>
      <c r="C72" s="4" t="str">
        <f t="shared" si="5"/>
        <v>0x04B8</v>
      </c>
      <c r="D72" s="5" t="s">
        <v>161</v>
      </c>
      <c r="E72" s="4" t="s">
        <v>21</v>
      </c>
    </row>
    <row r="73" spans="2:5" x14ac:dyDescent="0.25">
      <c r="B73" s="46">
        <f t="shared" si="6"/>
        <v>303</v>
      </c>
      <c r="C73" s="42" t="str">
        <f t="shared" si="5"/>
        <v>0x04BC</v>
      </c>
      <c r="D73" s="43" t="s">
        <v>162</v>
      </c>
      <c r="E73" s="4" t="s">
        <v>21</v>
      </c>
    </row>
    <row r="74" spans="2:5" ht="45" x14ac:dyDescent="0.25">
      <c r="B74" s="38"/>
      <c r="C74" s="39"/>
      <c r="D74" s="40" t="s">
        <v>169</v>
      </c>
      <c r="E74" s="41"/>
    </row>
    <row r="75" spans="2:5" x14ac:dyDescent="0.25">
      <c r="B75" s="47">
        <v>539</v>
      </c>
      <c r="C75" s="45" t="str">
        <f t="shared" si="5"/>
        <v>0x086C</v>
      </c>
      <c r="D75" s="37" t="s">
        <v>163</v>
      </c>
      <c r="E75" s="4" t="s">
        <v>21</v>
      </c>
    </row>
    <row r="76" spans="2:5" x14ac:dyDescent="0.25">
      <c r="B76" s="15">
        <f t="shared" ref="B76:B79" si="7">1+B75</f>
        <v>540</v>
      </c>
      <c r="C76" s="4" t="str">
        <f t="shared" si="5"/>
        <v>0x0870</v>
      </c>
      <c r="D76" s="5" t="s">
        <v>164</v>
      </c>
      <c r="E76" s="4" t="s">
        <v>21</v>
      </c>
    </row>
    <row r="77" spans="2:5" x14ac:dyDescent="0.25">
      <c r="B77" s="15">
        <f t="shared" si="7"/>
        <v>541</v>
      </c>
      <c r="C77" s="4" t="str">
        <f t="shared" si="5"/>
        <v>0x0874</v>
      </c>
      <c r="D77" s="5" t="s">
        <v>165</v>
      </c>
      <c r="E77" s="4" t="s">
        <v>21</v>
      </c>
    </row>
    <row r="78" spans="2:5" x14ac:dyDescent="0.25">
      <c r="B78" s="15">
        <f t="shared" si="7"/>
        <v>542</v>
      </c>
      <c r="C78" s="4" t="str">
        <f t="shared" si="5"/>
        <v>0x0878</v>
      </c>
      <c r="D78" s="5" t="s">
        <v>166</v>
      </c>
      <c r="E78" s="4" t="s">
        <v>21</v>
      </c>
    </row>
    <row r="79" spans="2:5" x14ac:dyDescent="0.25">
      <c r="B79" s="15">
        <f t="shared" si="7"/>
        <v>543</v>
      </c>
      <c r="C79" s="4" t="str">
        <f t="shared" si="5"/>
        <v>0x087C</v>
      </c>
      <c r="D79" s="5" t="s">
        <v>167</v>
      </c>
      <c r="E79" s="4" t="s">
        <v>21</v>
      </c>
    </row>
  </sheetData>
  <mergeCells count="1">
    <mergeCell ref="B43:E4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1DC79-6A15-435C-9C45-C15028B6FA9E}">
  <dimension ref="A2:B7"/>
  <sheetViews>
    <sheetView workbookViewId="0">
      <selection activeCell="A9" sqref="A9"/>
    </sheetView>
  </sheetViews>
  <sheetFormatPr defaultRowHeight="15" x14ac:dyDescent="0.25"/>
  <cols>
    <col min="1" max="1" width="9.5703125" customWidth="1"/>
    <col min="2" max="2" width="102" customWidth="1"/>
  </cols>
  <sheetData>
    <row r="2" spans="1:2" x14ac:dyDescent="0.25">
      <c r="A2" s="33" t="s">
        <v>58</v>
      </c>
      <c r="B2" s="33" t="s">
        <v>57</v>
      </c>
    </row>
    <row r="3" spans="1:2" x14ac:dyDescent="0.25">
      <c r="A3" s="23">
        <v>0</v>
      </c>
      <c r="B3" s="20" t="s">
        <v>85</v>
      </c>
    </row>
    <row r="4" spans="1:2" x14ac:dyDescent="0.25">
      <c r="A4" s="15">
        <v>1</v>
      </c>
      <c r="B4" s="4" t="s">
        <v>84</v>
      </c>
    </row>
    <row r="5" spans="1:2" x14ac:dyDescent="0.25">
      <c r="A5" s="23">
        <v>2</v>
      </c>
      <c r="B5" s="20" t="s">
        <v>59</v>
      </c>
    </row>
    <row r="6" spans="1:2" x14ac:dyDescent="0.25">
      <c r="A6" s="15">
        <v>3</v>
      </c>
      <c r="B6" s="4" t="s">
        <v>94</v>
      </c>
    </row>
    <row r="7" spans="1:2" x14ac:dyDescent="0.25">
      <c r="A7" s="23">
        <v>4</v>
      </c>
      <c r="B7" s="20" t="s">
        <v>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9"/>
  <sheetViews>
    <sheetView workbookViewId="0"/>
  </sheetViews>
  <sheetFormatPr defaultRowHeight="15" x14ac:dyDescent="0.25"/>
  <cols>
    <col min="1" max="1" width="11.140625" style="1" customWidth="1"/>
    <col min="2" max="2" width="76.42578125" customWidth="1"/>
    <col min="3" max="3" width="12.7109375" customWidth="1"/>
    <col min="4" max="4" width="12.140625" customWidth="1"/>
    <col min="5" max="5" width="6.42578125" customWidth="1"/>
  </cols>
  <sheetData>
    <row r="2" spans="1:5" x14ac:dyDescent="0.25">
      <c r="A2" s="17" t="s">
        <v>0</v>
      </c>
      <c r="B2" s="17" t="s">
        <v>32</v>
      </c>
      <c r="C2" s="17" t="s">
        <v>33</v>
      </c>
      <c r="D2" s="18" t="s">
        <v>34</v>
      </c>
      <c r="E2" s="18" t="s">
        <v>35</v>
      </c>
    </row>
    <row r="3" spans="1:5" x14ac:dyDescent="0.25">
      <c r="A3" s="22" t="s">
        <v>12</v>
      </c>
      <c r="B3" s="21" t="s">
        <v>2</v>
      </c>
      <c r="C3" s="21"/>
      <c r="D3" s="20"/>
      <c r="E3" s="20"/>
    </row>
    <row r="4" spans="1:5" x14ac:dyDescent="0.25">
      <c r="A4" s="15" t="s">
        <v>8</v>
      </c>
      <c r="B4" s="4" t="s">
        <v>16</v>
      </c>
      <c r="C4" s="4" t="s">
        <v>37</v>
      </c>
      <c r="D4" s="15" t="s">
        <v>36</v>
      </c>
      <c r="E4" s="15">
        <v>1</v>
      </c>
    </row>
    <row r="6" spans="1:5" x14ac:dyDescent="0.25">
      <c r="B6" s="9" t="s">
        <v>13</v>
      </c>
    </row>
    <row r="7" spans="1:5" ht="15.75" customHeight="1" x14ac:dyDescent="0.25">
      <c r="B7" s="14" t="s">
        <v>97</v>
      </c>
    </row>
    <row r="8" spans="1:5" ht="15" customHeight="1" x14ac:dyDescent="0.25">
      <c r="B8" s="13"/>
    </row>
    <row r="9" spans="1:5" ht="15" customHeight="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26"/>
  <sheetViews>
    <sheetView workbookViewId="0">
      <selection activeCell="B11" sqref="B11"/>
    </sheetView>
  </sheetViews>
  <sheetFormatPr defaultRowHeight="15" x14ac:dyDescent="0.25"/>
  <cols>
    <col min="1" max="1" width="11.140625" style="1" customWidth="1"/>
    <col min="2" max="2" width="89.85546875" customWidth="1"/>
    <col min="3" max="3" width="10" customWidth="1"/>
    <col min="4" max="4" width="10.140625" customWidth="1"/>
    <col min="5" max="5" width="7" customWidth="1"/>
  </cols>
  <sheetData>
    <row r="2" spans="1:5" x14ac:dyDescent="0.25">
      <c r="A2" s="17" t="s">
        <v>0</v>
      </c>
      <c r="B2" s="17" t="s">
        <v>1</v>
      </c>
      <c r="C2" s="17" t="s">
        <v>33</v>
      </c>
      <c r="D2" s="18" t="s">
        <v>34</v>
      </c>
      <c r="E2" s="18" t="s">
        <v>35</v>
      </c>
    </row>
    <row r="3" spans="1:5" x14ac:dyDescent="0.25">
      <c r="A3" s="22" t="s">
        <v>12</v>
      </c>
      <c r="B3" s="19" t="s">
        <v>20</v>
      </c>
      <c r="C3" s="22" t="s">
        <v>37</v>
      </c>
      <c r="D3" s="23" t="s">
        <v>61</v>
      </c>
      <c r="E3" s="23">
        <v>2</v>
      </c>
    </row>
    <row r="4" spans="1:5" x14ac:dyDescent="0.25">
      <c r="A4" s="24" t="s">
        <v>145</v>
      </c>
      <c r="B4" s="50" t="s">
        <v>195</v>
      </c>
      <c r="C4" s="24" t="s">
        <v>37</v>
      </c>
      <c r="D4" s="24" t="s">
        <v>36</v>
      </c>
      <c r="E4" s="24"/>
    </row>
    <row r="5" spans="1:5" x14ac:dyDescent="0.25">
      <c r="A5" s="23">
        <v>13</v>
      </c>
      <c r="B5" s="25" t="s">
        <v>39</v>
      </c>
      <c r="C5" s="23" t="s">
        <v>37</v>
      </c>
      <c r="D5" s="23">
        <v>0</v>
      </c>
      <c r="E5" s="23">
        <v>5</v>
      </c>
    </row>
    <row r="6" spans="1:5" x14ac:dyDescent="0.25">
      <c r="A6" s="24">
        <v>12</v>
      </c>
      <c r="B6" s="50" t="s">
        <v>190</v>
      </c>
      <c r="C6" s="24" t="s">
        <v>37</v>
      </c>
      <c r="D6" s="24">
        <v>0</v>
      </c>
      <c r="E6" s="24">
        <v>3</v>
      </c>
    </row>
    <row r="7" spans="1:5" x14ac:dyDescent="0.25">
      <c r="A7" s="23">
        <v>11</v>
      </c>
      <c r="B7" s="25" t="s">
        <v>191</v>
      </c>
      <c r="C7" s="23" t="s">
        <v>37</v>
      </c>
      <c r="D7" s="23">
        <v>0</v>
      </c>
      <c r="E7" s="23">
        <v>4</v>
      </c>
    </row>
    <row r="8" spans="1:5" x14ac:dyDescent="0.25">
      <c r="A8" s="24">
        <v>10</v>
      </c>
      <c r="B8" s="50" t="s">
        <v>192</v>
      </c>
      <c r="C8" s="24" t="s">
        <v>37</v>
      </c>
      <c r="D8" s="24">
        <v>0</v>
      </c>
      <c r="E8" s="24">
        <v>4</v>
      </c>
    </row>
    <row r="9" spans="1:5" x14ac:dyDescent="0.25">
      <c r="A9" s="23">
        <v>9</v>
      </c>
      <c r="B9" s="25" t="s">
        <v>193</v>
      </c>
      <c r="C9" s="23" t="s">
        <v>37</v>
      </c>
      <c r="D9" s="23">
        <v>0</v>
      </c>
      <c r="E9" s="23">
        <v>4</v>
      </c>
    </row>
    <row r="10" spans="1:5" x14ac:dyDescent="0.25">
      <c r="A10" s="24">
        <v>8</v>
      </c>
      <c r="B10" s="50" t="s">
        <v>194</v>
      </c>
      <c r="C10" s="24" t="s">
        <v>37</v>
      </c>
      <c r="D10" s="24">
        <v>0</v>
      </c>
      <c r="E10" s="24">
        <v>3</v>
      </c>
    </row>
    <row r="11" spans="1:5" x14ac:dyDescent="0.25">
      <c r="A11" s="23">
        <v>7</v>
      </c>
      <c r="B11" s="20" t="s">
        <v>196</v>
      </c>
      <c r="C11" s="23" t="s">
        <v>37</v>
      </c>
      <c r="D11" s="23">
        <v>0</v>
      </c>
      <c r="E11" s="23">
        <v>1</v>
      </c>
    </row>
    <row r="12" spans="1:5" x14ac:dyDescent="0.25">
      <c r="A12" s="24">
        <v>6</v>
      </c>
      <c r="B12" s="5" t="s">
        <v>38</v>
      </c>
      <c r="C12" s="24" t="s">
        <v>37</v>
      </c>
      <c r="D12" s="24">
        <v>0</v>
      </c>
      <c r="E12" s="24">
        <v>2</v>
      </c>
    </row>
    <row r="13" spans="1:5" x14ac:dyDescent="0.25">
      <c r="A13" s="23">
        <v>5</v>
      </c>
      <c r="B13" s="20" t="s">
        <v>60</v>
      </c>
      <c r="C13" s="23" t="s">
        <v>37</v>
      </c>
      <c r="D13" s="23">
        <v>0</v>
      </c>
      <c r="E13" s="23">
        <v>2</v>
      </c>
    </row>
    <row r="14" spans="1:5" x14ac:dyDescent="0.25">
      <c r="A14" s="24">
        <v>4</v>
      </c>
      <c r="B14" s="5" t="s">
        <v>10</v>
      </c>
      <c r="C14" s="24" t="s">
        <v>37</v>
      </c>
      <c r="D14" s="24">
        <v>0</v>
      </c>
      <c r="E14" s="24">
        <v>2</v>
      </c>
    </row>
    <row r="15" spans="1:5" x14ac:dyDescent="0.25">
      <c r="A15" s="23">
        <v>3</v>
      </c>
      <c r="B15" s="20" t="s">
        <v>86</v>
      </c>
      <c r="C15" s="23" t="s">
        <v>37</v>
      </c>
      <c r="D15" s="23">
        <v>1</v>
      </c>
      <c r="E15" s="23">
        <v>2</v>
      </c>
    </row>
    <row r="16" spans="1:5" x14ac:dyDescent="0.25">
      <c r="A16" s="24">
        <v>2</v>
      </c>
      <c r="B16" s="5" t="s">
        <v>87</v>
      </c>
      <c r="C16" s="24" t="s">
        <v>37</v>
      </c>
      <c r="D16" s="24">
        <v>1</v>
      </c>
      <c r="E16" s="24">
        <v>2</v>
      </c>
    </row>
    <row r="17" spans="1:5" x14ac:dyDescent="0.25">
      <c r="A17" s="23">
        <v>1</v>
      </c>
      <c r="B17" s="20" t="s">
        <v>11</v>
      </c>
      <c r="C17" s="23" t="s">
        <v>37</v>
      </c>
      <c r="D17" s="23">
        <v>1</v>
      </c>
      <c r="E17" s="23">
        <v>2</v>
      </c>
    </row>
    <row r="18" spans="1:5" x14ac:dyDescent="0.25">
      <c r="A18" s="24">
        <v>0</v>
      </c>
      <c r="B18" s="5" t="s">
        <v>23</v>
      </c>
      <c r="C18" s="24" t="s">
        <v>37</v>
      </c>
      <c r="D18" s="24">
        <v>0</v>
      </c>
      <c r="E18" s="24"/>
    </row>
    <row r="20" spans="1:5" x14ac:dyDescent="0.25">
      <c r="B20" s="9" t="s">
        <v>14</v>
      </c>
    </row>
    <row r="21" spans="1:5" ht="60" x14ac:dyDescent="0.25">
      <c r="B21" s="12" t="s">
        <v>197</v>
      </c>
    </row>
    <row r="22" spans="1:5" x14ac:dyDescent="0.25">
      <c r="B22" t="s">
        <v>201</v>
      </c>
    </row>
    <row r="23" spans="1:5" ht="75" x14ac:dyDescent="0.25">
      <c r="B23" s="12" t="s">
        <v>198</v>
      </c>
    </row>
    <row r="24" spans="1:5" ht="60" x14ac:dyDescent="0.25">
      <c r="B24" s="12" t="s">
        <v>199</v>
      </c>
    </row>
    <row r="25" spans="1:5" x14ac:dyDescent="0.25">
      <c r="B25" s="12" t="s">
        <v>200</v>
      </c>
    </row>
    <row r="26" spans="1:5" x14ac:dyDescent="0.25">
      <c r="B26" s="1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19"/>
  <sheetViews>
    <sheetView workbookViewId="0">
      <selection activeCell="B20" sqref="B20"/>
    </sheetView>
  </sheetViews>
  <sheetFormatPr defaultRowHeight="15" x14ac:dyDescent="0.25"/>
  <cols>
    <col min="1" max="1" width="11.140625" style="1" customWidth="1"/>
    <col min="2" max="2" width="112.85546875" customWidth="1"/>
    <col min="3" max="3" width="11.85546875" customWidth="1"/>
    <col min="4" max="4" width="10.7109375" customWidth="1"/>
    <col min="5" max="5" width="8" customWidth="1"/>
  </cols>
  <sheetData>
    <row r="2" spans="1:5" ht="15" customHeight="1" x14ac:dyDescent="0.25">
      <c r="A2" s="17" t="s">
        <v>0</v>
      </c>
      <c r="B2" s="17" t="s">
        <v>1</v>
      </c>
      <c r="C2" s="17" t="s">
        <v>33</v>
      </c>
      <c r="D2" s="18" t="s">
        <v>34</v>
      </c>
      <c r="E2" s="18" t="s">
        <v>35</v>
      </c>
    </row>
    <row r="3" spans="1:5" ht="15" customHeight="1" x14ac:dyDescent="0.25">
      <c r="A3" s="22">
        <v>31</v>
      </c>
      <c r="B3" s="21" t="s">
        <v>73</v>
      </c>
      <c r="C3" s="21" t="s">
        <v>42</v>
      </c>
      <c r="D3" s="23">
        <v>0</v>
      </c>
      <c r="E3" s="23"/>
    </row>
    <row r="4" spans="1:5" ht="15" customHeight="1" x14ac:dyDescent="0.25">
      <c r="A4" s="22" t="s">
        <v>76</v>
      </c>
      <c r="B4" s="21"/>
      <c r="C4" s="21"/>
      <c r="D4" s="23"/>
      <c r="E4" s="23"/>
    </row>
    <row r="5" spans="1:5" ht="15" customHeight="1" x14ac:dyDescent="0.25">
      <c r="A5" s="22">
        <v>8</v>
      </c>
      <c r="B5" s="21" t="s">
        <v>79</v>
      </c>
      <c r="C5" s="21" t="s">
        <v>42</v>
      </c>
      <c r="D5" s="23">
        <v>0</v>
      </c>
      <c r="E5" s="23">
        <v>4</v>
      </c>
    </row>
    <row r="6" spans="1:5" ht="15" customHeight="1" x14ac:dyDescent="0.25">
      <c r="A6" s="22">
        <v>7</v>
      </c>
      <c r="B6" s="21" t="s">
        <v>2</v>
      </c>
      <c r="C6" s="21" t="s">
        <v>36</v>
      </c>
      <c r="D6" s="23">
        <v>0</v>
      </c>
      <c r="E6" s="23"/>
    </row>
    <row r="7" spans="1:5" ht="15" customHeight="1" x14ac:dyDescent="0.25">
      <c r="A7" s="22">
        <v>6</v>
      </c>
      <c r="B7" s="21" t="s">
        <v>44</v>
      </c>
      <c r="C7" s="21"/>
      <c r="D7" s="23"/>
      <c r="E7" s="23">
        <v>3</v>
      </c>
    </row>
    <row r="8" spans="1:5" ht="15" customHeight="1" x14ac:dyDescent="0.25">
      <c r="A8" s="26">
        <v>5</v>
      </c>
      <c r="B8" s="2" t="s">
        <v>122</v>
      </c>
      <c r="C8" s="10" t="s">
        <v>42</v>
      </c>
      <c r="D8" s="15">
        <v>0</v>
      </c>
      <c r="E8" s="15">
        <v>2</v>
      </c>
    </row>
    <row r="9" spans="1:5" ht="15" customHeight="1" x14ac:dyDescent="0.25">
      <c r="A9" s="22">
        <v>4</v>
      </c>
      <c r="B9" s="21" t="s">
        <v>43</v>
      </c>
      <c r="C9" s="21" t="s">
        <v>42</v>
      </c>
      <c r="D9" s="23">
        <v>0</v>
      </c>
      <c r="E9" s="23">
        <v>5</v>
      </c>
    </row>
    <row r="10" spans="1:5" ht="15" customHeight="1" x14ac:dyDescent="0.25">
      <c r="A10" s="27">
        <v>3</v>
      </c>
      <c r="B10" s="10" t="s">
        <v>123</v>
      </c>
      <c r="C10" s="10" t="s">
        <v>42</v>
      </c>
      <c r="D10" s="24">
        <v>0</v>
      </c>
      <c r="E10" s="15"/>
    </row>
    <row r="11" spans="1:5" ht="68.25" customHeight="1" x14ac:dyDescent="0.25">
      <c r="A11" s="22" t="s">
        <v>46</v>
      </c>
      <c r="B11" s="21" t="s">
        <v>202</v>
      </c>
      <c r="C11" s="21" t="s">
        <v>42</v>
      </c>
      <c r="D11" s="29" t="s">
        <v>45</v>
      </c>
      <c r="E11" s="23">
        <v>1</v>
      </c>
    </row>
    <row r="12" spans="1:5" ht="15" customHeight="1" x14ac:dyDescent="0.25">
      <c r="A12" s="27">
        <v>0</v>
      </c>
      <c r="B12" s="10" t="s">
        <v>41</v>
      </c>
      <c r="C12" s="10" t="s">
        <v>42</v>
      </c>
      <c r="D12" s="24">
        <v>0</v>
      </c>
      <c r="E12" s="15"/>
    </row>
    <row r="14" spans="1:5" x14ac:dyDescent="0.25">
      <c r="B14" s="16" t="s">
        <v>13</v>
      </c>
    </row>
    <row r="15" spans="1:5" ht="107.25" customHeight="1" x14ac:dyDescent="0.25">
      <c r="B15" s="8" t="s">
        <v>203</v>
      </c>
    </row>
    <row r="16" spans="1:5" x14ac:dyDescent="0.25">
      <c r="B16" s="8" t="s">
        <v>77</v>
      </c>
    </row>
    <row r="17" spans="2:2" x14ac:dyDescent="0.25">
      <c r="B17" s="8" t="s">
        <v>89</v>
      </c>
    </row>
    <row r="18" spans="2:2" ht="25.5" x14ac:dyDescent="0.25">
      <c r="B18" s="8" t="s">
        <v>88</v>
      </c>
    </row>
    <row r="19" spans="2:2" ht="25.5" x14ac:dyDescent="0.25">
      <c r="B19" s="8" t="s">
        <v>124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D0752-AAFE-437E-9CEE-97D9CB71665E}">
  <dimension ref="A2:E8"/>
  <sheetViews>
    <sheetView workbookViewId="0">
      <selection activeCell="C8" sqref="C8"/>
    </sheetView>
  </sheetViews>
  <sheetFormatPr defaultRowHeight="15" x14ac:dyDescent="0.25"/>
  <cols>
    <col min="1" max="1" width="11.140625" style="1" customWidth="1"/>
    <col min="2" max="2" width="80" customWidth="1"/>
    <col min="3" max="3" width="11.42578125" customWidth="1"/>
    <col min="4" max="4" width="12.85546875" customWidth="1"/>
  </cols>
  <sheetData>
    <row r="2" spans="1:5" ht="15" customHeight="1" x14ac:dyDescent="0.25">
      <c r="A2" s="17" t="s">
        <v>0</v>
      </c>
      <c r="B2" s="17" t="s">
        <v>1</v>
      </c>
      <c r="C2" s="17" t="s">
        <v>33</v>
      </c>
      <c r="D2" s="18" t="s">
        <v>34</v>
      </c>
      <c r="E2" s="18" t="s">
        <v>35</v>
      </c>
    </row>
    <row r="3" spans="1:5" ht="15" customHeight="1" x14ac:dyDescent="0.25">
      <c r="A3" s="22" t="s">
        <v>7</v>
      </c>
      <c r="B3" s="21" t="s">
        <v>2</v>
      </c>
      <c r="C3" s="21"/>
      <c r="D3" s="20"/>
      <c r="E3" s="20"/>
    </row>
    <row r="4" spans="1:5" ht="15" customHeight="1" x14ac:dyDescent="0.25">
      <c r="A4" s="27" t="s">
        <v>9</v>
      </c>
      <c r="B4" s="10" t="s">
        <v>30</v>
      </c>
      <c r="C4" s="10" t="s">
        <v>42</v>
      </c>
      <c r="D4" s="24" t="s">
        <v>54</v>
      </c>
      <c r="E4" s="15" t="s">
        <v>55</v>
      </c>
    </row>
    <row r="6" spans="1:5" x14ac:dyDescent="0.25">
      <c r="B6" s="16" t="s">
        <v>13</v>
      </c>
    </row>
    <row r="7" spans="1:5" x14ac:dyDescent="0.25">
      <c r="B7" s="8" t="s">
        <v>56</v>
      </c>
    </row>
    <row r="8" spans="1:5" ht="76.5" x14ac:dyDescent="0.25">
      <c r="B8" s="8" t="s">
        <v>107</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E8"/>
  <sheetViews>
    <sheetView workbookViewId="0">
      <selection activeCell="B4" sqref="B4"/>
    </sheetView>
  </sheetViews>
  <sheetFormatPr defaultRowHeight="15" x14ac:dyDescent="0.25"/>
  <cols>
    <col min="1" max="1" width="11.140625" style="1" customWidth="1"/>
    <col min="2" max="2" width="81" customWidth="1"/>
    <col min="3" max="3" width="13" customWidth="1"/>
    <col min="4" max="4" width="12.28515625" customWidth="1"/>
  </cols>
  <sheetData>
    <row r="2" spans="1:5" x14ac:dyDescent="0.25">
      <c r="A2" s="17" t="s">
        <v>0</v>
      </c>
      <c r="B2" s="17" t="s">
        <v>1</v>
      </c>
      <c r="C2" s="17" t="s">
        <v>33</v>
      </c>
      <c r="D2" s="18" t="s">
        <v>34</v>
      </c>
      <c r="E2" s="18" t="s">
        <v>35</v>
      </c>
    </row>
    <row r="3" spans="1:5" x14ac:dyDescent="0.25">
      <c r="A3" s="22" t="s">
        <v>4</v>
      </c>
      <c r="B3" s="21" t="s">
        <v>100</v>
      </c>
      <c r="C3" s="20" t="s">
        <v>42</v>
      </c>
      <c r="D3" s="23" t="s">
        <v>47</v>
      </c>
      <c r="E3" s="23" t="s">
        <v>91</v>
      </c>
    </row>
    <row r="6" spans="1:5" x14ac:dyDescent="0.25">
      <c r="B6" s="9" t="s">
        <v>14</v>
      </c>
    </row>
    <row r="7" spans="1:5" x14ac:dyDescent="0.25">
      <c r="B7" t="s">
        <v>49</v>
      </c>
    </row>
    <row r="8" spans="1:5" ht="30" x14ac:dyDescent="0.25">
      <c r="B8" s="12" t="s">
        <v>103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E8"/>
  <sheetViews>
    <sheetView workbookViewId="0">
      <selection activeCell="B9" sqref="B9"/>
    </sheetView>
  </sheetViews>
  <sheetFormatPr defaultRowHeight="15" x14ac:dyDescent="0.25"/>
  <cols>
    <col min="1" max="1" width="11.140625" style="1" customWidth="1"/>
    <col min="2" max="2" width="78" customWidth="1"/>
    <col min="3" max="3" width="16" customWidth="1"/>
    <col min="4" max="4" width="13" customWidth="1"/>
    <col min="5" max="5" width="8" customWidth="1"/>
  </cols>
  <sheetData>
    <row r="2" spans="1:5" x14ac:dyDescent="0.25">
      <c r="A2" s="17" t="s">
        <v>0</v>
      </c>
      <c r="B2" s="17" t="s">
        <v>1</v>
      </c>
      <c r="C2" s="17" t="s">
        <v>33</v>
      </c>
      <c r="D2" s="18" t="s">
        <v>34</v>
      </c>
      <c r="E2" s="18" t="s">
        <v>35</v>
      </c>
    </row>
    <row r="3" spans="1:5" x14ac:dyDescent="0.25">
      <c r="A3" s="22" t="s">
        <v>4</v>
      </c>
      <c r="B3" s="21" t="s">
        <v>101</v>
      </c>
      <c r="C3" s="20" t="s">
        <v>42</v>
      </c>
      <c r="D3" s="23" t="s">
        <v>47</v>
      </c>
      <c r="E3" s="23" t="s">
        <v>55</v>
      </c>
    </row>
    <row r="6" spans="1:5" x14ac:dyDescent="0.25">
      <c r="B6" s="9" t="s">
        <v>14</v>
      </c>
    </row>
    <row r="7" spans="1:5" x14ac:dyDescent="0.25">
      <c r="B7" t="s">
        <v>52</v>
      </c>
    </row>
    <row r="8" spans="1:5" ht="30" x14ac:dyDescent="0.25">
      <c r="B8" s="12" t="s">
        <v>102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E13"/>
  <sheetViews>
    <sheetView workbookViewId="0"/>
  </sheetViews>
  <sheetFormatPr defaultRowHeight="15" x14ac:dyDescent="0.25"/>
  <cols>
    <col min="1" max="1" width="11.140625" style="1" customWidth="1"/>
    <col min="2" max="2" width="79.140625" customWidth="1"/>
    <col min="3" max="3" width="12.85546875" customWidth="1"/>
    <col min="4" max="4" width="15.140625" customWidth="1"/>
  </cols>
  <sheetData>
    <row r="2" spans="1:5" x14ac:dyDescent="0.25">
      <c r="A2" s="17" t="s">
        <v>0</v>
      </c>
      <c r="B2" s="17" t="s">
        <v>1</v>
      </c>
      <c r="C2" s="17" t="s">
        <v>33</v>
      </c>
      <c r="D2" s="18" t="s">
        <v>34</v>
      </c>
      <c r="E2" s="18" t="s">
        <v>35</v>
      </c>
    </row>
    <row r="3" spans="1:5" x14ac:dyDescent="0.25">
      <c r="A3" s="21" t="s">
        <v>6</v>
      </c>
      <c r="B3" s="21" t="s">
        <v>2</v>
      </c>
      <c r="C3" s="20"/>
      <c r="D3" s="20"/>
      <c r="E3" s="20"/>
    </row>
    <row r="4" spans="1:5" x14ac:dyDescent="0.25">
      <c r="A4" s="3" t="s">
        <v>5</v>
      </c>
      <c r="B4" s="4" t="s">
        <v>50</v>
      </c>
      <c r="C4" s="4" t="s">
        <v>42</v>
      </c>
      <c r="D4" s="15" t="s">
        <v>48</v>
      </c>
      <c r="E4" s="15" t="s">
        <v>91</v>
      </c>
    </row>
    <row r="5" spans="1:5" x14ac:dyDescent="0.25">
      <c r="A5" s="11"/>
      <c r="B5" s="6"/>
    </row>
    <row r="6" spans="1:5" x14ac:dyDescent="0.25">
      <c r="B6" s="9" t="s">
        <v>13</v>
      </c>
    </row>
    <row r="7" spans="1:5" ht="75" x14ac:dyDescent="0.25">
      <c r="B7" s="12" t="s">
        <v>51</v>
      </c>
    </row>
    <row r="8" spans="1:5" x14ac:dyDescent="0.25">
      <c r="B8" s="7" t="s">
        <v>98</v>
      </c>
    </row>
    <row r="9" spans="1:5" x14ac:dyDescent="0.25">
      <c r="B9" s="7"/>
    </row>
    <row r="10" spans="1:5" x14ac:dyDescent="0.25">
      <c r="B10" s="7"/>
    </row>
    <row r="11" spans="1:5" x14ac:dyDescent="0.25">
      <c r="B11" s="7"/>
    </row>
    <row r="12" spans="1:5" x14ac:dyDescent="0.25">
      <c r="B12" s="7"/>
    </row>
    <row r="13" spans="1:5" x14ac:dyDescent="0.25">
      <c r="B13" s="7"/>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9"/>
  <sheetViews>
    <sheetView workbookViewId="0">
      <selection activeCell="B33" sqref="B33"/>
    </sheetView>
  </sheetViews>
  <sheetFormatPr defaultRowHeight="15" x14ac:dyDescent="0.25"/>
  <cols>
    <col min="1" max="1" width="11.140625" style="1" customWidth="1"/>
    <col min="2" max="2" width="76.42578125" customWidth="1"/>
    <col min="3" max="3" width="15" customWidth="1"/>
    <col min="4" max="4" width="13.140625" customWidth="1"/>
    <col min="5" max="5" width="11" customWidth="1"/>
  </cols>
  <sheetData>
    <row r="2" spans="1:5" x14ac:dyDescent="0.25">
      <c r="A2" s="17" t="s">
        <v>0</v>
      </c>
      <c r="B2" s="17" t="s">
        <v>1</v>
      </c>
      <c r="C2" s="17" t="s">
        <v>33</v>
      </c>
      <c r="D2" s="18" t="s">
        <v>34</v>
      </c>
      <c r="E2" s="18" t="s">
        <v>35</v>
      </c>
    </row>
    <row r="3" spans="1:5" x14ac:dyDescent="0.25">
      <c r="A3" s="23" t="s">
        <v>4</v>
      </c>
      <c r="B3" s="25" t="s">
        <v>96</v>
      </c>
      <c r="C3" s="20" t="s">
        <v>42</v>
      </c>
      <c r="D3" s="23" t="s">
        <v>47</v>
      </c>
      <c r="E3" s="23" t="s">
        <v>105</v>
      </c>
    </row>
    <row r="6" spans="1:5" x14ac:dyDescent="0.25">
      <c r="B6" s="9" t="s">
        <v>13</v>
      </c>
    </row>
    <row r="7" spans="1:5" ht="30" x14ac:dyDescent="0.25">
      <c r="B7" s="12" t="s">
        <v>90</v>
      </c>
    </row>
    <row r="8" spans="1:5" ht="30" x14ac:dyDescent="0.25">
      <c r="B8" s="12" t="s">
        <v>104</v>
      </c>
    </row>
    <row r="9" spans="1:5" x14ac:dyDescent="0.25">
      <c r="B9" t="s">
        <v>106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E6"/>
  <sheetViews>
    <sheetView workbookViewId="0"/>
  </sheetViews>
  <sheetFormatPr defaultRowHeight="15" x14ac:dyDescent="0.25"/>
  <cols>
    <col min="1" max="1" width="11.140625" style="1" customWidth="1"/>
    <col min="2" max="2" width="76.42578125" customWidth="1"/>
    <col min="3" max="3" width="17.7109375" customWidth="1"/>
    <col min="4" max="4" width="13.28515625" customWidth="1"/>
  </cols>
  <sheetData>
    <row r="2" spans="1:5" x14ac:dyDescent="0.25">
      <c r="A2" s="17" t="s">
        <v>0</v>
      </c>
      <c r="B2" s="17" t="s">
        <v>1</v>
      </c>
      <c r="C2" s="17" t="s">
        <v>33</v>
      </c>
      <c r="D2" s="18" t="s">
        <v>34</v>
      </c>
      <c r="E2" s="18" t="s">
        <v>35</v>
      </c>
    </row>
    <row r="3" spans="1:5" ht="30" x14ac:dyDescent="0.25">
      <c r="A3" s="23" t="s">
        <v>4</v>
      </c>
      <c r="B3" s="25" t="s">
        <v>24</v>
      </c>
      <c r="C3" s="20" t="s">
        <v>42</v>
      </c>
      <c r="D3" s="23" t="s">
        <v>47</v>
      </c>
      <c r="E3" s="23">
        <v>1</v>
      </c>
    </row>
    <row r="5" spans="1:5" x14ac:dyDescent="0.25">
      <c r="B5" s="28" t="s">
        <v>13</v>
      </c>
    </row>
    <row r="6" spans="1:5" x14ac:dyDescent="0.25">
      <c r="B6" t="s">
        <v>99</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FED15-93D2-422E-83FE-C824AAFD222D}">
  <dimension ref="A2:E17"/>
  <sheetViews>
    <sheetView workbookViewId="0">
      <selection activeCell="B18" sqref="B18"/>
    </sheetView>
  </sheetViews>
  <sheetFormatPr defaultRowHeight="15" x14ac:dyDescent="0.25"/>
  <cols>
    <col min="1" max="1" width="11.140625" style="1" customWidth="1"/>
    <col min="2" max="2" width="82.5703125" customWidth="1"/>
    <col min="3" max="3" width="15" customWidth="1"/>
    <col min="4" max="4" width="13.140625" customWidth="1"/>
    <col min="5" max="5" width="11" customWidth="1"/>
  </cols>
  <sheetData>
    <row r="2" spans="1:5" x14ac:dyDescent="0.25">
      <c r="A2" s="17" t="s">
        <v>0</v>
      </c>
      <c r="B2" s="17" t="s">
        <v>1</v>
      </c>
      <c r="C2" s="17" t="s">
        <v>33</v>
      </c>
      <c r="D2" s="18" t="s">
        <v>34</v>
      </c>
      <c r="E2" s="18" t="s">
        <v>35</v>
      </c>
    </row>
    <row r="3" spans="1:5" x14ac:dyDescent="0.25">
      <c r="A3" s="23" t="s">
        <v>6</v>
      </c>
      <c r="B3" s="25" t="s">
        <v>218</v>
      </c>
      <c r="C3" s="20" t="s">
        <v>42</v>
      </c>
      <c r="D3" s="23" t="s">
        <v>36</v>
      </c>
      <c r="E3" s="23"/>
    </row>
    <row r="4" spans="1:5" x14ac:dyDescent="0.25">
      <c r="A4" s="24">
        <v>9</v>
      </c>
      <c r="B4" s="50" t="s">
        <v>217</v>
      </c>
      <c r="C4" s="5" t="s">
        <v>42</v>
      </c>
      <c r="D4" s="24">
        <v>0</v>
      </c>
      <c r="E4" s="24">
        <v>5</v>
      </c>
    </row>
    <row r="5" spans="1:5" x14ac:dyDescent="0.25">
      <c r="A5" s="23">
        <v>8</v>
      </c>
      <c r="B5" s="25" t="s">
        <v>223</v>
      </c>
      <c r="C5" s="20" t="s">
        <v>42</v>
      </c>
      <c r="D5" s="23">
        <v>0</v>
      </c>
      <c r="E5" s="23">
        <v>4</v>
      </c>
    </row>
    <row r="6" spans="1:5" x14ac:dyDescent="0.25">
      <c r="A6" s="15" t="s">
        <v>211</v>
      </c>
      <c r="B6" s="4" t="s">
        <v>214</v>
      </c>
      <c r="C6" s="4" t="s">
        <v>42</v>
      </c>
      <c r="D6" s="15" t="s">
        <v>207</v>
      </c>
      <c r="E6" s="15">
        <v>3</v>
      </c>
    </row>
    <row r="7" spans="1:5" x14ac:dyDescent="0.25">
      <c r="A7" s="23">
        <v>5</v>
      </c>
      <c r="B7" s="20" t="s">
        <v>209</v>
      </c>
      <c r="C7" s="20" t="s">
        <v>42</v>
      </c>
      <c r="D7" s="23">
        <v>1</v>
      </c>
      <c r="E7" s="23">
        <v>1</v>
      </c>
    </row>
    <row r="8" spans="1:5" x14ac:dyDescent="0.25">
      <c r="A8" s="15">
        <v>4</v>
      </c>
      <c r="B8" s="4" t="s">
        <v>210</v>
      </c>
      <c r="C8" s="4" t="s">
        <v>42</v>
      </c>
      <c r="D8" s="15">
        <v>1</v>
      </c>
      <c r="E8" s="15">
        <v>1</v>
      </c>
    </row>
    <row r="9" spans="1:5" x14ac:dyDescent="0.25">
      <c r="A9" s="23" t="s">
        <v>208</v>
      </c>
      <c r="B9" s="20" t="s">
        <v>215</v>
      </c>
      <c r="C9" s="20" t="s">
        <v>42</v>
      </c>
      <c r="D9" s="23" t="s">
        <v>207</v>
      </c>
      <c r="E9" s="23">
        <v>2</v>
      </c>
    </row>
    <row r="10" spans="1:5" x14ac:dyDescent="0.25">
      <c r="A10" s="15">
        <v>1</v>
      </c>
      <c r="B10" s="4" t="s">
        <v>205</v>
      </c>
      <c r="C10" s="4" t="s">
        <v>42</v>
      </c>
      <c r="D10" s="15">
        <v>1</v>
      </c>
      <c r="E10" s="15">
        <v>1</v>
      </c>
    </row>
    <row r="11" spans="1:5" x14ac:dyDescent="0.25">
      <c r="A11" s="23">
        <v>0</v>
      </c>
      <c r="B11" s="20" t="s">
        <v>206</v>
      </c>
      <c r="C11" s="20" t="s">
        <v>42</v>
      </c>
      <c r="D11" s="23">
        <v>1</v>
      </c>
      <c r="E11" s="23">
        <v>1</v>
      </c>
    </row>
    <row r="13" spans="1:5" x14ac:dyDescent="0.25">
      <c r="B13" s="9" t="s">
        <v>13</v>
      </c>
    </row>
    <row r="14" spans="1:5" ht="75" x14ac:dyDescent="0.25">
      <c r="B14" s="12" t="s">
        <v>213</v>
      </c>
    </row>
    <row r="15" spans="1:5" ht="105" x14ac:dyDescent="0.25">
      <c r="B15" s="12" t="s">
        <v>219</v>
      </c>
    </row>
    <row r="16" spans="1:5" x14ac:dyDescent="0.25">
      <c r="B16" t="s">
        <v>216</v>
      </c>
    </row>
    <row r="17" spans="2:2" ht="30" x14ac:dyDescent="0.25">
      <c r="B17" s="12" t="s">
        <v>224</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6651E-67DD-4D45-B8A1-9B55A65AD47C}">
  <dimension ref="A2:E10"/>
  <sheetViews>
    <sheetView workbookViewId="0">
      <selection activeCell="A5" sqref="A5"/>
    </sheetView>
  </sheetViews>
  <sheetFormatPr defaultRowHeight="15" x14ac:dyDescent="0.25"/>
  <cols>
    <col min="1" max="1" width="11.140625" style="1" customWidth="1"/>
    <col min="2" max="2" width="82.5703125" customWidth="1"/>
    <col min="3" max="3" width="15" customWidth="1"/>
    <col min="4" max="4" width="13.140625" customWidth="1"/>
    <col min="5" max="5" width="11" customWidth="1"/>
  </cols>
  <sheetData>
    <row r="2" spans="1:5" x14ac:dyDescent="0.25">
      <c r="A2" s="17" t="s">
        <v>0</v>
      </c>
      <c r="B2" s="17" t="s">
        <v>1</v>
      </c>
      <c r="C2" s="17" t="s">
        <v>33</v>
      </c>
      <c r="D2" s="18" t="s">
        <v>34</v>
      </c>
      <c r="E2" s="18" t="s">
        <v>35</v>
      </c>
    </row>
    <row r="3" spans="1:5" x14ac:dyDescent="0.25">
      <c r="A3" s="23" t="s">
        <v>12</v>
      </c>
      <c r="B3" s="25" t="s">
        <v>218</v>
      </c>
      <c r="C3" s="20"/>
      <c r="D3" s="23" t="s">
        <v>36</v>
      </c>
      <c r="E3" s="23"/>
    </row>
    <row r="4" spans="1:5" x14ac:dyDescent="0.25">
      <c r="A4" s="24" t="s">
        <v>8</v>
      </c>
      <c r="B4" s="50" t="s">
        <v>220</v>
      </c>
      <c r="C4" s="5" t="s">
        <v>17</v>
      </c>
      <c r="D4" s="24" t="s">
        <v>36</v>
      </c>
      <c r="E4" s="24">
        <v>1</v>
      </c>
    </row>
    <row r="6" spans="1:5" x14ac:dyDescent="0.25">
      <c r="B6" s="9" t="s">
        <v>13</v>
      </c>
    </row>
    <row r="7" spans="1:5" ht="60" x14ac:dyDescent="0.25">
      <c r="B7" s="12" t="s">
        <v>221</v>
      </c>
    </row>
    <row r="8" spans="1:5" ht="36.75" customHeight="1" x14ac:dyDescent="0.25">
      <c r="B8" s="12"/>
    </row>
    <row r="9" spans="1:5" x14ac:dyDescent="0.25">
      <c r="B9" s="54" t="s">
        <v>222</v>
      </c>
    </row>
    <row r="10" spans="1:5" ht="43.5" customHeight="1" x14ac:dyDescent="0.25"/>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AE2AF-652C-4301-B883-5F9177ABACD0}">
  <dimension ref="A2:E19"/>
  <sheetViews>
    <sheetView workbookViewId="0">
      <selection activeCell="A12" sqref="A12"/>
    </sheetView>
  </sheetViews>
  <sheetFormatPr defaultRowHeight="15" x14ac:dyDescent="0.25"/>
  <cols>
    <col min="2" max="2" width="101.5703125" customWidth="1"/>
    <col min="3" max="3" width="14.28515625" customWidth="1"/>
    <col min="4" max="4" width="15.28515625" customWidth="1"/>
    <col min="5" max="5" width="12.140625" customWidth="1"/>
  </cols>
  <sheetData>
    <row r="2" spans="1:5" ht="25.5" x14ac:dyDescent="0.25">
      <c r="A2" s="17" t="s">
        <v>0</v>
      </c>
      <c r="B2" s="17" t="s">
        <v>1</v>
      </c>
      <c r="C2" s="17" t="s">
        <v>33</v>
      </c>
      <c r="D2" s="18" t="s">
        <v>34</v>
      </c>
      <c r="E2" s="18" t="s">
        <v>35</v>
      </c>
    </row>
    <row r="3" spans="1:5" x14ac:dyDescent="0.25">
      <c r="A3" s="22" t="s">
        <v>40</v>
      </c>
      <c r="B3" s="21" t="s">
        <v>144</v>
      </c>
      <c r="C3" s="34" t="s">
        <v>17</v>
      </c>
      <c r="D3" s="34" t="s">
        <v>36</v>
      </c>
      <c r="E3" s="34">
        <v>5</v>
      </c>
    </row>
    <row r="4" spans="1:5" x14ac:dyDescent="0.25">
      <c r="A4" s="27" t="s">
        <v>142</v>
      </c>
      <c r="B4" s="10" t="s">
        <v>143</v>
      </c>
      <c r="C4" s="36" t="s">
        <v>17</v>
      </c>
      <c r="D4" s="36" t="s">
        <v>36</v>
      </c>
      <c r="E4" s="36">
        <v>4</v>
      </c>
    </row>
    <row r="5" spans="1:5" x14ac:dyDescent="0.25">
      <c r="A5" s="22">
        <v>15</v>
      </c>
      <c r="B5" s="21" t="s">
        <v>2</v>
      </c>
      <c r="C5" s="34" t="s">
        <v>17</v>
      </c>
      <c r="D5" s="34" t="s">
        <v>36</v>
      </c>
      <c r="E5" s="34"/>
    </row>
    <row r="6" spans="1:5" x14ac:dyDescent="0.25">
      <c r="A6" s="27">
        <v>14</v>
      </c>
      <c r="B6" s="10" t="s">
        <v>225</v>
      </c>
      <c r="C6" s="36" t="s">
        <v>17</v>
      </c>
      <c r="D6" s="36" t="s">
        <v>36</v>
      </c>
      <c r="E6" s="36"/>
    </row>
    <row r="7" spans="1:5" x14ac:dyDescent="0.25">
      <c r="A7" s="22">
        <v>13</v>
      </c>
      <c r="B7" s="21" t="s">
        <v>141</v>
      </c>
      <c r="C7" s="34" t="s">
        <v>17</v>
      </c>
      <c r="D7" s="34" t="s">
        <v>36</v>
      </c>
      <c r="E7" s="34"/>
    </row>
    <row r="8" spans="1:5" x14ac:dyDescent="0.25">
      <c r="A8" s="27">
        <v>12</v>
      </c>
      <c r="B8" s="10" t="s">
        <v>140</v>
      </c>
      <c r="C8" s="36" t="s">
        <v>17</v>
      </c>
      <c r="D8" s="36" t="s">
        <v>36</v>
      </c>
      <c r="E8" s="36"/>
    </row>
    <row r="9" spans="1:5" x14ac:dyDescent="0.25">
      <c r="A9" s="22" t="s">
        <v>139</v>
      </c>
      <c r="B9" s="21" t="s">
        <v>147</v>
      </c>
      <c r="C9" s="34" t="s">
        <v>17</v>
      </c>
      <c r="D9" s="34" t="s">
        <v>36</v>
      </c>
      <c r="E9" s="34">
        <v>3</v>
      </c>
    </row>
    <row r="10" spans="1:5" x14ac:dyDescent="0.25">
      <c r="A10" s="27" t="s">
        <v>138</v>
      </c>
      <c r="B10" s="10" t="s">
        <v>148</v>
      </c>
      <c r="C10" s="36" t="s">
        <v>17</v>
      </c>
      <c r="D10" s="36" t="s">
        <v>36</v>
      </c>
      <c r="E10" s="36">
        <v>2</v>
      </c>
    </row>
    <row r="11" spans="1:5" x14ac:dyDescent="0.25">
      <c r="A11" s="22" t="s">
        <v>136</v>
      </c>
      <c r="B11" s="21" t="s">
        <v>137</v>
      </c>
      <c r="C11" s="34" t="s">
        <v>17</v>
      </c>
      <c r="D11" s="34" t="s">
        <v>36</v>
      </c>
      <c r="E11" s="34">
        <v>1</v>
      </c>
    </row>
    <row r="12" spans="1:5" x14ac:dyDescent="0.25">
      <c r="A12" s="8"/>
      <c r="B12" s="8"/>
      <c r="C12" s="35"/>
      <c r="D12" s="35"/>
      <c r="E12" s="35"/>
    </row>
    <row r="14" spans="1:5" x14ac:dyDescent="0.25">
      <c r="B14" s="9" t="s">
        <v>13</v>
      </c>
    </row>
    <row r="15" spans="1:5" ht="75" x14ac:dyDescent="0.25">
      <c r="B15" s="12" t="s">
        <v>146</v>
      </c>
    </row>
    <row r="16" spans="1:5" ht="75" x14ac:dyDescent="0.25">
      <c r="B16" s="12" t="s">
        <v>149</v>
      </c>
    </row>
    <row r="17" spans="2:2" ht="75" x14ac:dyDescent="0.25">
      <c r="B17" s="12" t="s">
        <v>150</v>
      </c>
    </row>
    <row r="18" spans="2:2" ht="30" x14ac:dyDescent="0.25">
      <c r="B18" s="12" t="s">
        <v>151</v>
      </c>
    </row>
    <row r="19" spans="2:2" ht="45" x14ac:dyDescent="0.25">
      <c r="B19" s="12" t="s">
        <v>152</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BF797-A858-4FB0-B240-354533B8A233}">
  <dimension ref="A2:E10"/>
  <sheetViews>
    <sheetView workbookViewId="0">
      <selection activeCell="B13" sqref="B13"/>
    </sheetView>
  </sheetViews>
  <sheetFormatPr defaultRowHeight="15" x14ac:dyDescent="0.25"/>
  <cols>
    <col min="2" max="2" width="101.5703125" customWidth="1"/>
    <col min="3" max="3" width="14.28515625" customWidth="1"/>
    <col min="4" max="4" width="15.28515625" customWidth="1"/>
    <col min="5" max="5" width="12.140625" customWidth="1"/>
  </cols>
  <sheetData>
    <row r="2" spans="1:5" ht="25.5" x14ac:dyDescent="0.25">
      <c r="A2" s="17" t="s">
        <v>0</v>
      </c>
      <c r="B2" s="17" t="s">
        <v>1</v>
      </c>
      <c r="C2" s="17" t="s">
        <v>33</v>
      </c>
      <c r="D2" s="18" t="s">
        <v>34</v>
      </c>
      <c r="E2" s="18" t="s">
        <v>35</v>
      </c>
    </row>
    <row r="3" spans="1:5" x14ac:dyDescent="0.25">
      <c r="A3" s="21" t="s">
        <v>12</v>
      </c>
      <c r="B3" s="21" t="s">
        <v>134</v>
      </c>
      <c r="C3" s="34" t="s">
        <v>17</v>
      </c>
      <c r="D3" s="34" t="s">
        <v>36</v>
      </c>
      <c r="E3" s="34" t="s">
        <v>186</v>
      </c>
    </row>
    <row r="4" spans="1:5" x14ac:dyDescent="0.25">
      <c r="A4" s="10" t="s">
        <v>8</v>
      </c>
      <c r="B4" s="10" t="s">
        <v>135</v>
      </c>
      <c r="C4" s="36" t="s">
        <v>17</v>
      </c>
      <c r="D4" s="36" t="s">
        <v>36</v>
      </c>
      <c r="E4" s="36" t="s">
        <v>187</v>
      </c>
    </row>
    <row r="6" spans="1:5" x14ac:dyDescent="0.25">
      <c r="B6" s="9" t="s">
        <v>13</v>
      </c>
    </row>
    <row r="7" spans="1:5" x14ac:dyDescent="0.25">
      <c r="B7" s="12" t="s">
        <v>133</v>
      </c>
    </row>
    <row r="8" spans="1:5" x14ac:dyDescent="0.25">
      <c r="B8" s="12" t="s">
        <v>131</v>
      </c>
    </row>
    <row r="9" spans="1:5" ht="30" x14ac:dyDescent="0.25">
      <c r="B9" s="12" t="s">
        <v>132</v>
      </c>
    </row>
    <row r="10" spans="1:5" ht="45" x14ac:dyDescent="0.25">
      <c r="B10" s="48" t="s">
        <v>212</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B7684-4131-4530-9930-17DC9F78676F}">
  <dimension ref="A2:E10"/>
  <sheetViews>
    <sheetView workbookViewId="0">
      <selection activeCell="B11" sqref="B11"/>
    </sheetView>
  </sheetViews>
  <sheetFormatPr defaultRowHeight="15" x14ac:dyDescent="0.25"/>
  <cols>
    <col min="2" max="2" width="101.5703125" customWidth="1"/>
    <col min="3" max="3" width="14.28515625" customWidth="1"/>
    <col min="4" max="4" width="15.28515625" customWidth="1"/>
    <col min="5" max="5" width="12.140625" customWidth="1"/>
  </cols>
  <sheetData>
    <row r="2" spans="1:5" ht="25.5" x14ac:dyDescent="0.25">
      <c r="A2" s="17" t="s">
        <v>0</v>
      </c>
      <c r="B2" s="17" t="s">
        <v>1</v>
      </c>
      <c r="C2" s="17" t="s">
        <v>33</v>
      </c>
      <c r="D2" s="18" t="s">
        <v>34</v>
      </c>
      <c r="E2" s="18" t="s">
        <v>35</v>
      </c>
    </row>
    <row r="3" spans="1:5" x14ac:dyDescent="0.25">
      <c r="A3" s="21" t="s">
        <v>12</v>
      </c>
      <c r="B3" s="21" t="s">
        <v>130</v>
      </c>
      <c r="C3" s="34" t="s">
        <v>17</v>
      </c>
      <c r="D3" s="34" t="s">
        <v>36</v>
      </c>
      <c r="E3" s="34" t="s">
        <v>187</v>
      </c>
    </row>
    <row r="4" spans="1:5" x14ac:dyDescent="0.25">
      <c r="A4" s="10" t="s">
        <v>8</v>
      </c>
      <c r="B4" s="10" t="s">
        <v>129</v>
      </c>
      <c r="C4" s="36" t="s">
        <v>17</v>
      </c>
      <c r="D4" s="36" t="s">
        <v>36</v>
      </c>
      <c r="E4" s="36" t="s">
        <v>187</v>
      </c>
    </row>
    <row r="6" spans="1:5" x14ac:dyDescent="0.25">
      <c r="B6" s="9" t="s">
        <v>13</v>
      </c>
    </row>
    <row r="7" spans="1:5" x14ac:dyDescent="0.25">
      <c r="B7" s="12" t="s">
        <v>133</v>
      </c>
    </row>
    <row r="8" spans="1:5" x14ac:dyDescent="0.25">
      <c r="B8" s="12" t="s">
        <v>131</v>
      </c>
    </row>
    <row r="9" spans="1:5" ht="30" x14ac:dyDescent="0.25">
      <c r="B9" s="12" t="s">
        <v>132</v>
      </c>
    </row>
    <row r="10" spans="1:5" ht="45" x14ac:dyDescent="0.25">
      <c r="B10" s="48" t="s">
        <v>212</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95165-8330-4839-B189-21E3A6731401}">
  <dimension ref="A2:E8"/>
  <sheetViews>
    <sheetView workbookViewId="0">
      <selection activeCell="A4" sqref="A4"/>
    </sheetView>
  </sheetViews>
  <sheetFormatPr defaultRowHeight="15" x14ac:dyDescent="0.25"/>
  <cols>
    <col min="2" max="2" width="101.5703125" customWidth="1"/>
    <col min="3" max="3" width="14.28515625" customWidth="1"/>
    <col min="4" max="4" width="15.28515625" customWidth="1"/>
    <col min="5" max="5" width="12.140625" customWidth="1"/>
  </cols>
  <sheetData>
    <row r="2" spans="1:5" ht="25.5" x14ac:dyDescent="0.25">
      <c r="A2" s="17" t="s">
        <v>0</v>
      </c>
      <c r="B2" s="17" t="s">
        <v>1</v>
      </c>
      <c r="C2" s="17" t="s">
        <v>33</v>
      </c>
      <c r="D2" s="18" t="s">
        <v>34</v>
      </c>
      <c r="E2" s="18" t="s">
        <v>35</v>
      </c>
    </row>
    <row r="3" spans="1:5" x14ac:dyDescent="0.25">
      <c r="A3" s="21" t="s">
        <v>4</v>
      </c>
      <c r="B3" s="21" t="s">
        <v>125</v>
      </c>
      <c r="C3" s="34" t="s">
        <v>17</v>
      </c>
      <c r="D3" s="34" t="s">
        <v>36</v>
      </c>
      <c r="E3" s="34" t="s">
        <v>105</v>
      </c>
    </row>
    <row r="5" spans="1:5" x14ac:dyDescent="0.25">
      <c r="B5" s="9" t="s">
        <v>13</v>
      </c>
    </row>
    <row r="6" spans="1:5" ht="30" x14ac:dyDescent="0.25">
      <c r="B6" s="12" t="s">
        <v>126</v>
      </c>
    </row>
    <row r="7" spans="1:5" x14ac:dyDescent="0.25">
      <c r="B7" s="12" t="s">
        <v>127</v>
      </c>
    </row>
    <row r="8" spans="1:5" ht="30" x14ac:dyDescent="0.25">
      <c r="B8" s="12" t="s">
        <v>128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7B332-7755-47ED-83D0-CECDA112EF10}">
  <dimension ref="A2:E7"/>
  <sheetViews>
    <sheetView workbookViewId="0"/>
  </sheetViews>
  <sheetFormatPr defaultRowHeight="15" x14ac:dyDescent="0.25"/>
  <cols>
    <col min="2" max="2" width="101.5703125" customWidth="1"/>
    <col min="3" max="3" width="14.28515625" customWidth="1"/>
    <col min="4" max="4" width="15.28515625" customWidth="1"/>
    <col min="5" max="5" width="12.140625" customWidth="1"/>
  </cols>
  <sheetData>
    <row r="2" spans="1:5" ht="25.5" x14ac:dyDescent="0.25">
      <c r="A2" s="17" t="s">
        <v>0</v>
      </c>
      <c r="B2" s="17" t="s">
        <v>1</v>
      </c>
      <c r="C2" s="17" t="s">
        <v>33</v>
      </c>
      <c r="D2" s="18" t="s">
        <v>34</v>
      </c>
      <c r="E2" s="18" t="s">
        <v>35</v>
      </c>
    </row>
    <row r="3" spans="1:5" ht="25.5" x14ac:dyDescent="0.25">
      <c r="A3" s="21" t="s">
        <v>4</v>
      </c>
      <c r="B3" s="21" t="s">
        <v>121</v>
      </c>
      <c r="C3" s="34" t="s">
        <v>42</v>
      </c>
      <c r="D3" s="34" t="s">
        <v>120</v>
      </c>
      <c r="E3" s="34" t="s">
        <v>55</v>
      </c>
    </row>
    <row r="5" spans="1:5" x14ac:dyDescent="0.25">
      <c r="B5" s="9" t="s">
        <v>13</v>
      </c>
    </row>
    <row r="6" spans="1:5" ht="60" x14ac:dyDescent="0.25">
      <c r="B6" s="12" t="s">
        <v>119</v>
      </c>
    </row>
    <row r="7" spans="1:5" ht="30" x14ac:dyDescent="0.25">
      <c r="B7" s="12" t="s">
        <v>118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57D3C-7B90-49C8-AF44-3A5416EF5F90}">
  <dimension ref="A2:E7"/>
  <sheetViews>
    <sheetView workbookViewId="0"/>
  </sheetViews>
  <sheetFormatPr defaultRowHeight="15" x14ac:dyDescent="0.25"/>
  <cols>
    <col min="2" max="2" width="101.5703125" customWidth="1"/>
    <col min="3" max="3" width="14.28515625" customWidth="1"/>
    <col min="4" max="4" width="15.28515625" customWidth="1"/>
    <col min="5" max="5" width="12.140625" customWidth="1"/>
  </cols>
  <sheetData>
    <row r="2" spans="1:5" ht="25.5" x14ac:dyDescent="0.25">
      <c r="A2" s="17" t="s">
        <v>0</v>
      </c>
      <c r="B2" s="17" t="s">
        <v>1</v>
      </c>
      <c r="C2" s="17" t="s">
        <v>33</v>
      </c>
      <c r="D2" s="18" t="s">
        <v>34</v>
      </c>
      <c r="E2" s="18" t="s">
        <v>35</v>
      </c>
    </row>
    <row r="3" spans="1:5" x14ac:dyDescent="0.25">
      <c r="A3" s="21" t="s">
        <v>108</v>
      </c>
      <c r="B3" s="21" t="s">
        <v>109</v>
      </c>
      <c r="C3" s="20"/>
      <c r="D3" s="20"/>
      <c r="E3" s="20"/>
    </row>
    <row r="4" spans="1:5" x14ac:dyDescent="0.25">
      <c r="A4" s="4" t="s">
        <v>110</v>
      </c>
      <c r="B4" s="4" t="s">
        <v>111</v>
      </c>
      <c r="C4" s="4" t="s">
        <v>42</v>
      </c>
      <c r="D4" s="15" t="s">
        <v>112</v>
      </c>
      <c r="E4" s="15">
        <v>1</v>
      </c>
    </row>
    <row r="6" spans="1:5" x14ac:dyDescent="0.25">
      <c r="B6" s="9" t="s">
        <v>13</v>
      </c>
    </row>
    <row r="7" spans="1:5" ht="30" x14ac:dyDescent="0.25">
      <c r="B7" s="12" t="s">
        <v>113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D89B7-D7DA-4B61-99BE-8C2C5816EF9D}">
  <dimension ref="A2:E8"/>
  <sheetViews>
    <sheetView workbookViewId="0"/>
  </sheetViews>
  <sheetFormatPr defaultRowHeight="15" x14ac:dyDescent="0.25"/>
  <cols>
    <col min="2" max="2" width="101.5703125" customWidth="1"/>
    <col min="3" max="3" width="14.28515625" customWidth="1"/>
    <col min="4" max="4" width="15.28515625" customWidth="1"/>
    <col min="5" max="5" width="12.140625" customWidth="1"/>
  </cols>
  <sheetData>
    <row r="2" spans="1:5" ht="25.5" x14ac:dyDescent="0.25">
      <c r="A2" s="17" t="s">
        <v>0</v>
      </c>
      <c r="B2" s="17" t="s">
        <v>1</v>
      </c>
      <c r="C2" s="17" t="s">
        <v>33</v>
      </c>
      <c r="D2" s="18" t="s">
        <v>34</v>
      </c>
      <c r="E2" s="18" t="s">
        <v>35</v>
      </c>
    </row>
    <row r="3" spans="1:5" x14ac:dyDescent="0.25">
      <c r="A3" s="21" t="s">
        <v>108</v>
      </c>
      <c r="B3" s="21" t="s">
        <v>109</v>
      </c>
      <c r="C3" s="20"/>
      <c r="D3" s="20"/>
      <c r="E3" s="20"/>
    </row>
    <row r="4" spans="1:5" x14ac:dyDescent="0.25">
      <c r="A4" s="4" t="s">
        <v>110</v>
      </c>
      <c r="B4" s="4" t="s">
        <v>115</v>
      </c>
      <c r="C4" s="4" t="s">
        <v>42</v>
      </c>
      <c r="D4" s="15" t="s">
        <v>117</v>
      </c>
      <c r="E4" s="15" t="s">
        <v>91</v>
      </c>
    </row>
    <row r="6" spans="1:5" x14ac:dyDescent="0.25">
      <c r="B6" s="9" t="s">
        <v>13</v>
      </c>
    </row>
    <row r="7" spans="1:5" ht="30" x14ac:dyDescent="0.25">
      <c r="B7" s="12" t="s">
        <v>114</v>
      </c>
    </row>
    <row r="8" spans="1:5" ht="30" x14ac:dyDescent="0.25">
      <c r="B8" s="12" t="s">
        <v>116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E7"/>
  <sheetViews>
    <sheetView workbookViewId="0">
      <selection activeCell="B8" sqref="B8"/>
    </sheetView>
  </sheetViews>
  <sheetFormatPr defaultRowHeight="15" x14ac:dyDescent="0.25"/>
  <cols>
    <col min="2" max="2" width="76.42578125" customWidth="1"/>
    <col min="3" max="3" width="13.85546875" customWidth="1"/>
    <col min="4" max="4" width="15.140625" customWidth="1"/>
  </cols>
  <sheetData>
    <row r="2" spans="1:5" ht="15" customHeight="1" x14ac:dyDescent="0.25">
      <c r="A2" s="17" t="s">
        <v>0</v>
      </c>
      <c r="B2" s="17" t="s">
        <v>1</v>
      </c>
      <c r="C2" s="17" t="s">
        <v>33</v>
      </c>
      <c r="D2" s="18" t="s">
        <v>34</v>
      </c>
      <c r="E2" s="18" t="s">
        <v>35</v>
      </c>
    </row>
    <row r="3" spans="1:5" ht="25.5" x14ac:dyDescent="0.25">
      <c r="A3" s="22" t="s">
        <v>4</v>
      </c>
      <c r="B3" s="21" t="s">
        <v>15</v>
      </c>
      <c r="C3" s="20" t="s">
        <v>53</v>
      </c>
      <c r="D3" s="23" t="s">
        <v>47</v>
      </c>
      <c r="E3" s="49">
        <v>1</v>
      </c>
    </row>
    <row r="6" spans="1:5" x14ac:dyDescent="0.25">
      <c r="B6" s="9" t="s">
        <v>14</v>
      </c>
    </row>
    <row r="7" spans="1:5" ht="45" x14ac:dyDescent="0.25">
      <c r="B7" s="48" t="s">
        <v>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Memory Map</vt:lpstr>
      <vt:lpstr>Action CMD Struct</vt:lpstr>
      <vt:lpstr>FW Revision</vt:lpstr>
      <vt:lpstr>Overall Status</vt:lpstr>
      <vt:lpstr>Board Control</vt:lpstr>
      <vt:lpstr># of Actions</vt:lpstr>
      <vt:lpstr>Sample Win Start</vt:lpstr>
      <vt:lpstr>Sample Win Stop</vt:lpstr>
      <vt:lpstr>Channel Amplitude</vt:lpstr>
      <vt:lpstr>Channel Delay</vt:lpstr>
      <vt:lpstr>Channel Phase</vt:lpstr>
      <vt:lpstr>Extender IO sel, DMA status rd</vt:lpstr>
      <vt:lpstr>Die Temperature</vt:lpstr>
      <vt:lpstr>DMA Control Stas</vt:lpstr>
      <vt:lpstr>DMA Write status</vt:lpstr>
      <vt:lpstr>DMA Read status</vt:lpstr>
      <vt:lpstr>DMA Write Count</vt:lpstr>
      <vt:lpstr>Read Setup</vt:lpstr>
      <vt:lpstr>Trigger Timeout</vt:lpstr>
      <vt:lpstr>Trigger Period</vt:lpstr>
      <vt:lpstr>Diagnostic R-W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Hai Tuyen (U.S. Person)</dc:creator>
  <cp:lastModifiedBy>qwark</cp:lastModifiedBy>
  <dcterms:created xsi:type="dcterms:W3CDTF">2017-11-16T22:09:34Z</dcterms:created>
  <dcterms:modified xsi:type="dcterms:W3CDTF">2022-05-13T06:48:58Z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a132d8ab-2485-4715-802d-31da94d84165</vt:lpwstr>
  </property>
  <property fmtid="{D5CDD505-2E9C-101B-9397-08002B2CF9AE}" pid="3" name="CLASSIFICATION">
    <vt:lpwstr>General</vt:lpwstr>
  </property>
</Properties>
</file>